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NMT\Downloads\"/>
    </mc:Choice>
  </mc:AlternateContent>
  <bookViews>
    <workbookView xWindow="0" yWindow="0" windowWidth="19200" windowHeight="693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D18" i="1" l="1"/>
  <c r="B6" i="1" s="1"/>
  <c r="B18" i="1"/>
  <c r="C13" i="1"/>
  <c r="C12" i="1"/>
  <c r="C11" i="1"/>
  <c r="C10" i="1"/>
  <c r="C9" i="1"/>
  <c r="C8" i="1"/>
  <c r="C7" i="1"/>
  <c r="C6" i="1"/>
  <c r="C14" i="1" s="1"/>
  <c r="C5" i="1"/>
  <c r="B5" i="1"/>
  <c r="D5" i="1" s="1"/>
  <c r="N31" i="1"/>
  <c r="P19" i="1"/>
  <c r="M19" i="1"/>
  <c r="G19" i="1"/>
  <c r="K19" i="1"/>
  <c r="G20" i="1"/>
  <c r="N19" i="1"/>
  <c r="J19" i="1"/>
  <c r="H31" i="1"/>
  <c r="Q19" i="1"/>
  <c r="K31" i="1"/>
  <c r="J31" i="1"/>
  <c r="H19" i="1"/>
  <c r="M31" i="1"/>
  <c r="G31" i="1"/>
  <c r="H20" i="1"/>
  <c r="K30" i="1" l="1"/>
  <c r="B10" i="1" s="1"/>
  <c r="D10" i="1" s="1"/>
  <c r="N18" i="1"/>
  <c r="B11" i="1" s="1"/>
  <c r="D11" i="1" s="1"/>
  <c r="Q18" i="1"/>
  <c r="B13" i="1" s="1"/>
  <c r="D13" i="1" s="1"/>
  <c r="H18" i="1"/>
  <c r="B7" i="1" s="1"/>
  <c r="D7" i="1" s="1"/>
  <c r="H30" i="1"/>
  <c r="B8" i="1" s="1"/>
  <c r="D8" i="1" s="1"/>
  <c r="K18" i="1"/>
  <c r="B9" i="1" s="1"/>
  <c r="D9" i="1" s="1"/>
  <c r="N30" i="1"/>
  <c r="B12" i="1" s="1"/>
  <c r="D12" i="1" s="1"/>
  <c r="D6" i="1"/>
  <c r="B14" i="1" l="1"/>
</calcChain>
</file>

<file path=xl/sharedStrings.xml><?xml version="1.0" encoding="utf-8"?>
<sst xmlns="http://schemas.openxmlformats.org/spreadsheetml/2006/main" count="61" uniqueCount="27">
  <si>
    <t>Month Budget Analysis</t>
  </si>
  <si>
    <t>Summary</t>
  </si>
  <si>
    <t>Category</t>
  </si>
  <si>
    <t>Actual</t>
  </si>
  <si>
    <t>Goal</t>
  </si>
  <si>
    <t>Percentage</t>
  </si>
  <si>
    <t>Income</t>
  </si>
  <si>
    <t>Expenses</t>
  </si>
  <si>
    <t>Food &amp; Drinks</t>
  </si>
  <si>
    <t>Groceries</t>
  </si>
  <si>
    <t>Travel</t>
  </si>
  <si>
    <t>Utilities</t>
  </si>
  <si>
    <t>Shopping</t>
  </si>
  <si>
    <t>Savings</t>
  </si>
  <si>
    <t>Emi</t>
  </si>
  <si>
    <t>Net Total</t>
  </si>
  <si>
    <t xml:space="preserve">Goal </t>
  </si>
  <si>
    <t>Salary</t>
  </si>
  <si>
    <t>Dominos</t>
  </si>
  <si>
    <t>Foods &amp; Drinks</t>
  </si>
  <si>
    <t>Biscuits</t>
  </si>
  <si>
    <t>Club</t>
  </si>
  <si>
    <t>Fried Rice</t>
  </si>
  <si>
    <t>Demo</t>
  </si>
  <si>
    <t>Rent</t>
  </si>
  <si>
    <t>One8Shoes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</si>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</sst>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₹]#,##0.00"/>
  </numFmts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3"/>
      <color rgb="FFFFFFFF"/>
      <name val="Arial"/>
      <scheme val="minor"/>
    </font>
    <font>
      <b/>
      <sz val="13"/>
      <color theme="1"/>
      <name val="Arial"/>
      <scheme val="minor"/>
    </font>
    <font>
      <b/>
      <sz val="15"/>
      <color rgb="FFFFFFFF"/>
      <name val="Arial"/>
      <scheme val="minor"/>
    </font>
    <font>
      <b/>
      <sz val="13"/>
      <color rgb="FF000000"/>
      <name val="Arial"/>
      <scheme val="minor"/>
    </font>
    <font>
      <sz val="13"/>
      <color rgb="FF000000"/>
      <name val="Arial"/>
      <scheme val="minor"/>
    </font>
    <font>
      <sz val="10"/>
      <color rgb="FF000000"/>
      <name val="Arial"/>
      <scheme val="minor"/>
    </font>
    <font>
      <b/>
      <sz val="11"/>
      <color rgb="FF000000"/>
      <name val="Arial"/>
      <scheme val="minor"/>
    </font>
    <font>
      <b/>
      <sz val="18"/>
      <color rgb="FF000000"/>
      <name val="Arial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666666"/>
        <bgColor rgb="FF666666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EA9999"/>
        <bgColor rgb="FFEA9999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B45F06"/>
        <bgColor rgb="FFB45F06"/>
      </patternFill>
    </fill>
    <fill>
      <patternFill patternType="solid">
        <fgColor rgb="FF0B5394"/>
        <bgColor rgb="FF0B5394"/>
      </patternFill>
    </fill>
    <fill>
      <patternFill patternType="solid">
        <fgColor rgb="FF674EA7"/>
        <bgColor rgb="FF674EA7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6FA8DC"/>
        <bgColor rgb="FF6FA8DC"/>
      </patternFill>
    </fill>
    <fill>
      <patternFill patternType="solid">
        <fgColor rgb="FF8E7CC3"/>
        <bgColor rgb="FF8E7CC3"/>
      </patternFill>
    </fill>
    <fill>
      <patternFill patternType="solid">
        <fgColor rgb="FF999999"/>
        <bgColor rgb="FF999999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  <fill>
      <patternFill patternType="solid">
        <fgColor rgb="FF45818E"/>
        <bgColor rgb="FF45818E"/>
      </patternFill>
    </fill>
    <fill>
      <patternFill patternType="solid">
        <fgColor rgb="FFCC0000"/>
        <bgColor rgb="FFCC0000"/>
      </patternFill>
    </fill>
    <fill>
      <patternFill patternType="solid">
        <fgColor rgb="FFA2C4C9"/>
        <bgColor rgb="FFA2C4C9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11">
    <xf numFmtId="0" fontId="0" fillId="0" borderId="0" xfId="0" applyFont="1" applyAlignment="1"/>
    <xf numFmtId="0" fontId="1" fillId="3" borderId="0" xfId="0" applyFont="1" applyFill="1"/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2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3" fillId="3" borderId="1" xfId="0" applyFont="1" applyFill="1" applyBorder="1" applyAlignment="1">
      <alignment horizontal="center"/>
    </xf>
    <xf numFmtId="0" fontId="0" fillId="0" borderId="1" xfId="0" applyFont="1" applyBorder="1" applyAlignment="1"/>
    <xf numFmtId="0" fontId="1" fillId="3" borderId="0" xfId="0" applyFont="1" applyFill="1" applyBorder="1"/>
    <xf numFmtId="0" fontId="3" fillId="3" borderId="0" xfId="0" applyFont="1" applyFill="1" applyBorder="1" applyAlignment="1">
      <alignment horizontal="center"/>
    </xf>
    <xf numFmtId="0" fontId="0" fillId="0" borderId="0" xfId="0" applyFont="1" applyBorder="1" applyAlignment="1"/>
    <xf numFmtId="0" fontId="6" fillId="3" borderId="1" xfId="0" applyFont="1" applyFill="1" applyBorder="1" applyAlignment="1">
      <alignment horizontal="center"/>
    </xf>
    <xf numFmtId="0" fontId="7" fillId="3" borderId="1" xfId="0" applyFont="1" applyFill="1" applyBorder="1"/>
    <xf numFmtId="0" fontId="5" fillId="5" borderId="1" xfId="0" applyFont="1" applyFill="1" applyBorder="1" applyAlignment="1">
      <alignment horizontal="center"/>
    </xf>
    <xf numFmtId="10" fontId="5" fillId="5" borderId="1" xfId="0" applyNumberFormat="1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/>
    </xf>
    <xf numFmtId="164" fontId="6" fillId="6" borderId="1" xfId="0" applyNumberFormat="1" applyFont="1" applyFill="1" applyBorder="1" applyAlignment="1">
      <alignment horizontal="center"/>
    </xf>
    <xf numFmtId="10" fontId="6" fillId="6" borderId="1" xfId="0" applyNumberFormat="1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/>
    </xf>
    <xf numFmtId="164" fontId="6" fillId="7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164" fontId="6" fillId="8" borderId="1" xfId="0" applyNumberFormat="1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8" fillId="9" borderId="3" xfId="0" applyFont="1" applyFill="1" applyBorder="1" applyAlignment="1">
      <alignment horizontal="center"/>
    </xf>
    <xf numFmtId="164" fontId="6" fillId="9" borderId="3" xfId="0" applyNumberFormat="1" applyFont="1" applyFill="1" applyBorder="1" applyAlignment="1">
      <alignment horizontal="center"/>
    </xf>
    <xf numFmtId="0" fontId="6" fillId="9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7" fillId="3" borderId="3" xfId="0" applyFont="1" applyFill="1" applyBorder="1"/>
    <xf numFmtId="0" fontId="0" fillId="0" borderId="3" xfId="0" applyFont="1" applyBorder="1" applyAlignment="1"/>
    <xf numFmtId="0" fontId="6" fillId="3" borderId="0" xfId="0" applyFont="1" applyFill="1" applyBorder="1" applyAlignment="1">
      <alignment horizontal="center"/>
    </xf>
    <xf numFmtId="0" fontId="7" fillId="3" borderId="0" xfId="0" applyFont="1" applyFill="1" applyBorder="1"/>
    <xf numFmtId="0" fontId="6" fillId="3" borderId="2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" fillId="3" borderId="3" xfId="0" applyFont="1" applyFill="1" applyBorder="1"/>
    <xf numFmtId="0" fontId="6" fillId="3" borderId="5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1" fillId="15" borderId="1" xfId="0" applyFont="1" applyFill="1" applyBorder="1" applyAlignment="1">
      <alignment horizontal="right"/>
    </xf>
    <xf numFmtId="164" fontId="1" fillId="15" borderId="1" xfId="0" applyNumberFormat="1" applyFont="1" applyFill="1" applyBorder="1" applyAlignment="1"/>
    <xf numFmtId="0" fontId="1" fillId="7" borderId="1" xfId="0" applyFont="1" applyFill="1" applyBorder="1" applyAlignment="1">
      <alignment horizontal="right"/>
    </xf>
    <xf numFmtId="164" fontId="1" fillId="7" borderId="1" xfId="0" applyNumberFormat="1" applyFont="1" applyFill="1" applyBorder="1" applyAlignment="1"/>
    <xf numFmtId="164" fontId="1" fillId="15" borderId="1" xfId="0" applyNumberFormat="1" applyFont="1" applyFill="1" applyBorder="1"/>
    <xf numFmtId="164" fontId="1" fillId="7" borderId="1" xfId="0" applyNumberFormat="1" applyFont="1" applyFill="1" applyBorder="1"/>
    <xf numFmtId="164" fontId="1" fillId="20" borderId="1" xfId="0" applyNumberFormat="1" applyFont="1" applyFill="1" applyBorder="1" applyAlignment="1"/>
    <xf numFmtId="0" fontId="1" fillId="8" borderId="1" xfId="0" applyFont="1" applyFill="1" applyBorder="1" applyAlignment="1">
      <alignment horizontal="right"/>
    </xf>
    <xf numFmtId="164" fontId="1" fillId="8" borderId="1" xfId="0" applyNumberFormat="1" applyFont="1" applyFill="1" applyBorder="1" applyAlignment="1"/>
    <xf numFmtId="0" fontId="1" fillId="20" borderId="1" xfId="0" applyFont="1" applyFill="1" applyBorder="1"/>
    <xf numFmtId="164" fontId="1" fillId="20" borderId="1" xfId="0" applyNumberFormat="1" applyFont="1" applyFill="1" applyBorder="1"/>
    <xf numFmtId="164" fontId="1" fillId="8" borderId="1" xfId="0" applyNumberFormat="1" applyFont="1" applyFill="1" applyBorder="1"/>
    <xf numFmtId="0" fontId="1" fillId="16" borderId="1" xfId="0" applyFont="1" applyFill="1" applyBorder="1" applyAlignment="1">
      <alignment horizontal="right"/>
    </xf>
    <xf numFmtId="164" fontId="1" fillId="16" borderId="1" xfId="0" applyNumberFormat="1" applyFont="1" applyFill="1" applyBorder="1" applyAlignment="1"/>
    <xf numFmtId="164" fontId="1" fillId="16" borderId="1" xfId="0" applyNumberFormat="1" applyFont="1" applyFill="1" applyBorder="1"/>
    <xf numFmtId="0" fontId="1" fillId="21" borderId="1" xfId="0" applyFont="1" applyFill="1" applyBorder="1"/>
    <xf numFmtId="164" fontId="1" fillId="21" borderId="1" xfId="0" applyNumberFormat="1" applyFont="1" applyFill="1" applyBorder="1"/>
    <xf numFmtId="0" fontId="1" fillId="21" borderId="1" xfId="0" applyFont="1" applyFill="1" applyBorder="1" applyAlignment="1">
      <alignment vertical="center"/>
    </xf>
    <xf numFmtId="0" fontId="1" fillId="27" borderId="1" xfId="0" applyFont="1" applyFill="1" applyBorder="1" applyAlignment="1">
      <alignment horizontal="right"/>
    </xf>
    <xf numFmtId="164" fontId="1" fillId="27" borderId="1" xfId="0" applyNumberFormat="1" applyFont="1" applyFill="1" applyBorder="1" applyAlignment="1"/>
    <xf numFmtId="164" fontId="1" fillId="27" borderId="1" xfId="0" applyNumberFormat="1" applyFont="1" applyFill="1" applyBorder="1"/>
    <xf numFmtId="0" fontId="1" fillId="28" borderId="1" xfId="0" applyFont="1" applyFill="1" applyBorder="1"/>
    <xf numFmtId="164" fontId="1" fillId="28" borderId="1" xfId="0" applyNumberFormat="1" applyFont="1" applyFill="1" applyBorder="1"/>
    <xf numFmtId="0" fontId="1" fillId="28" borderId="1" xfId="0" applyFont="1" applyFill="1" applyBorder="1" applyAlignment="1"/>
    <xf numFmtId="0" fontId="1" fillId="28" borderId="1" xfId="0" applyFont="1" applyFill="1" applyBorder="1" applyAlignment="1">
      <alignment vertical="center"/>
    </xf>
    <xf numFmtId="0" fontId="1" fillId="17" borderId="1" xfId="0" applyFont="1" applyFill="1" applyBorder="1" applyAlignment="1">
      <alignment horizontal="right"/>
    </xf>
    <xf numFmtId="164" fontId="1" fillId="17" borderId="1" xfId="0" applyNumberFormat="1" applyFont="1" applyFill="1" applyBorder="1" applyAlignment="1"/>
    <xf numFmtId="164" fontId="1" fillId="17" borderId="1" xfId="0" applyNumberFormat="1" applyFont="1" applyFill="1" applyBorder="1"/>
    <xf numFmtId="0" fontId="1" fillId="22" borderId="1" xfId="0" applyFont="1" applyFill="1" applyBorder="1"/>
    <xf numFmtId="164" fontId="1" fillId="22" borderId="1" xfId="0" applyNumberFormat="1" applyFont="1" applyFill="1" applyBorder="1"/>
    <xf numFmtId="0" fontId="1" fillId="22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horizontal="right"/>
    </xf>
    <xf numFmtId="164" fontId="1" fillId="9" borderId="1" xfId="0" applyNumberFormat="1" applyFont="1" applyFill="1" applyBorder="1" applyAlignment="1"/>
    <xf numFmtId="164" fontId="1" fillId="9" borderId="1" xfId="0" applyNumberFormat="1" applyFont="1" applyFill="1" applyBorder="1"/>
    <xf numFmtId="0" fontId="1" fillId="29" borderId="1" xfId="0" applyFont="1" applyFill="1" applyBorder="1"/>
    <xf numFmtId="164" fontId="1" fillId="29" borderId="1" xfId="0" applyNumberFormat="1" applyFont="1" applyFill="1" applyBorder="1"/>
    <xf numFmtId="0" fontId="1" fillId="29" borderId="1" xfId="0" applyFont="1" applyFill="1" applyBorder="1" applyAlignment="1">
      <alignment vertical="center"/>
    </xf>
    <xf numFmtId="0" fontId="1" fillId="18" borderId="1" xfId="0" applyFont="1" applyFill="1" applyBorder="1" applyAlignment="1">
      <alignment horizontal="right"/>
    </xf>
    <xf numFmtId="164" fontId="1" fillId="18" borderId="1" xfId="0" applyNumberFormat="1" applyFont="1" applyFill="1" applyBorder="1" applyAlignment="1"/>
    <xf numFmtId="164" fontId="1" fillId="18" borderId="1" xfId="0" applyNumberFormat="1" applyFont="1" applyFill="1" applyBorder="1"/>
    <xf numFmtId="0" fontId="1" fillId="23" borderId="1" xfId="0" applyFont="1" applyFill="1" applyBorder="1"/>
    <xf numFmtId="164" fontId="1" fillId="23" borderId="1" xfId="0" applyNumberFormat="1" applyFont="1" applyFill="1" applyBorder="1"/>
    <xf numFmtId="0" fontId="1" fillId="23" borderId="1" xfId="0" applyFont="1" applyFill="1" applyBorder="1" applyAlignment="1">
      <alignment vertical="center"/>
    </xf>
    <xf numFmtId="0" fontId="1" fillId="20" borderId="1" xfId="0" applyFont="1" applyFill="1" applyBorder="1" applyAlignment="1">
      <alignment vertical="center"/>
    </xf>
    <xf numFmtId="0" fontId="1" fillId="19" borderId="1" xfId="0" applyFont="1" applyFill="1" applyBorder="1" applyAlignment="1">
      <alignment horizontal="right"/>
    </xf>
    <xf numFmtId="164" fontId="1" fillId="19" borderId="1" xfId="0" applyNumberFormat="1" applyFont="1" applyFill="1" applyBorder="1" applyAlignment="1"/>
    <xf numFmtId="164" fontId="1" fillId="19" borderId="1" xfId="0" applyNumberFormat="1" applyFont="1" applyFill="1" applyBorder="1"/>
    <xf numFmtId="0" fontId="1" fillId="24" borderId="1" xfId="0" applyFont="1" applyFill="1" applyBorder="1"/>
    <xf numFmtId="164" fontId="1" fillId="24" borderId="1" xfId="0" applyNumberFormat="1" applyFont="1" applyFill="1" applyBorder="1"/>
    <xf numFmtId="0" fontId="1" fillId="24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right"/>
    </xf>
    <xf numFmtId="0" fontId="6" fillId="3" borderId="1" xfId="0" applyFont="1" applyFill="1" applyBorder="1" applyAlignment="1">
      <alignment horizontal="right"/>
    </xf>
    <xf numFmtId="0" fontId="6" fillId="3" borderId="3" xfId="0" applyFont="1" applyFill="1" applyBorder="1" applyAlignment="1">
      <alignment horizontal="right"/>
    </xf>
    <xf numFmtId="0" fontId="0" fillId="0" borderId="0" xfId="0" applyFont="1" applyAlignment="1">
      <alignment horizontal="right"/>
    </xf>
    <xf numFmtId="0" fontId="0" fillId="0" borderId="0" xfId="0" applyFont="1" applyBorder="1" applyAlignment="1">
      <alignment horizontal="right"/>
    </xf>
    <xf numFmtId="0" fontId="3" fillId="3" borderId="2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7" fillId="3" borderId="7" xfId="0" applyFont="1" applyFill="1" applyBorder="1"/>
    <xf numFmtId="0" fontId="3" fillId="4" borderId="1" xfId="0" applyFont="1" applyFill="1" applyBorder="1" applyAlignment="1">
      <alignment horizontal="center"/>
    </xf>
    <xf numFmtId="0" fontId="0" fillId="0" borderId="1" xfId="0" applyFont="1" applyBorder="1" applyAlignment="1"/>
    <xf numFmtId="0" fontId="1" fillId="7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 applyFont="1" applyAlignment="1">
      <alignment horizontal="center"/>
    </xf>
    <xf numFmtId="0" fontId="3" fillId="12" borderId="1" xfId="0" applyFont="1" applyFill="1" applyBorder="1" applyAlignment="1">
      <alignment horizontal="center"/>
    </xf>
    <xf numFmtId="0" fontId="3" fillId="25" borderId="1" xfId="0" applyFont="1" applyFill="1" applyBorder="1" applyAlignment="1">
      <alignment horizontal="center"/>
    </xf>
    <xf numFmtId="0" fontId="3" fillId="26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3" fillId="13" borderId="1" xfId="0" applyFont="1" applyFill="1" applyBorder="1" applyAlignment="1">
      <alignment horizontal="center"/>
    </xf>
    <xf numFmtId="0" fontId="3" fillId="14" borderId="1" xfId="0" applyFont="1" applyFill="1" applyBorder="1" applyAlignment="1">
      <alignment horizontal="center"/>
    </xf>
    <xf numFmtId="0" fontId="1" fillId="20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lang="en-IN" b="1">
                <a:solidFill>
                  <a:srgbClr val="757575"/>
                </a:solidFill>
                <a:latin typeface="+mn-lt"/>
              </a:rPr>
              <a:t>Expenses</a:t>
            </a:r>
          </a:p>
        </c:rich>
      </c:tx>
      <c:layout/>
      <c:overlay val="0"/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B45F06"/>
              </a:solidFill>
            </c:spPr>
            <c:extLst>
              <c:ext xmlns:c16="http://schemas.microsoft.com/office/drawing/2014/chart" uri="{C3380CC4-5D6E-409C-BE32-E72D297353CC}">
                <c16:uniqueId val="{00000001-9549-48E1-9389-DD9E370E7D32}"/>
              </c:ext>
            </c:extLst>
          </c:dPt>
          <c:dPt>
            <c:idx val="1"/>
            <c:bubble3D val="0"/>
            <c:spPr>
              <a:solidFill>
                <a:srgbClr val="45818E"/>
              </a:solidFill>
            </c:spPr>
            <c:extLst>
              <c:ext xmlns:c16="http://schemas.microsoft.com/office/drawing/2014/chart" uri="{C3380CC4-5D6E-409C-BE32-E72D297353CC}">
                <c16:uniqueId val="{00000003-9549-48E1-9389-DD9E370E7D32}"/>
              </c:ext>
            </c:extLst>
          </c:dPt>
          <c:dPt>
            <c:idx val="2"/>
            <c:bubble3D val="0"/>
            <c:spPr>
              <a:solidFill>
                <a:srgbClr val="0B5394"/>
              </a:solidFill>
            </c:spPr>
            <c:extLst>
              <c:ext xmlns:c16="http://schemas.microsoft.com/office/drawing/2014/chart" uri="{C3380CC4-5D6E-409C-BE32-E72D297353CC}">
                <c16:uniqueId val="{00000005-9549-48E1-9389-DD9E370E7D32}"/>
              </c:ext>
            </c:extLst>
          </c:dPt>
          <c:dPt>
            <c:idx val="3"/>
            <c:bubble3D val="0"/>
            <c:spPr>
              <a:solidFill>
                <a:srgbClr val="CC0000"/>
              </a:solidFill>
            </c:spPr>
            <c:extLst>
              <c:ext xmlns:c16="http://schemas.microsoft.com/office/drawing/2014/chart" uri="{C3380CC4-5D6E-409C-BE32-E72D297353CC}">
                <c16:uniqueId val="{00000007-9549-48E1-9389-DD9E370E7D32}"/>
              </c:ext>
            </c:extLst>
          </c:dPt>
          <c:dPt>
            <c:idx val="4"/>
            <c:bubble3D val="0"/>
            <c:spPr>
              <a:solidFill>
                <a:srgbClr val="674EA7"/>
              </a:solidFill>
            </c:spPr>
            <c:extLst>
              <c:ext xmlns:c16="http://schemas.microsoft.com/office/drawing/2014/chart" uri="{C3380CC4-5D6E-409C-BE32-E72D297353CC}">
                <c16:uniqueId val="{00000009-9549-48E1-9389-DD9E370E7D32}"/>
              </c:ext>
            </c:extLst>
          </c:dPt>
          <c:dPt>
            <c:idx val="5"/>
            <c:bubble3D val="0"/>
            <c:spPr>
              <a:solidFill>
                <a:srgbClr val="38761D"/>
              </a:solidFill>
            </c:spPr>
            <c:extLst>
              <c:ext xmlns:c16="http://schemas.microsoft.com/office/drawing/2014/chart" uri="{C3380CC4-5D6E-409C-BE32-E72D297353CC}">
                <c16:uniqueId val="{0000000B-9549-48E1-9389-DD9E370E7D32}"/>
              </c:ext>
            </c:extLst>
          </c:dPt>
          <c:dPt>
            <c:idx val="6"/>
            <c:bubble3D val="0"/>
            <c:spPr>
              <a:solidFill>
                <a:srgbClr val="666666"/>
              </a:solidFill>
            </c:spPr>
            <c:extLst>
              <c:ext xmlns:c16="http://schemas.microsoft.com/office/drawing/2014/chart" uri="{C3380CC4-5D6E-409C-BE32-E72D297353CC}">
                <c16:uniqueId val="{0000000D-9549-48E1-9389-DD9E370E7D32}"/>
              </c:ext>
            </c:extLst>
          </c:dPt>
          <c:dPt>
            <c:idx val="7"/>
            <c:bubble3D val="0"/>
            <c:spPr>
              <a:solidFill>
                <a:srgbClr val="F07B72"/>
              </a:solidFill>
            </c:spPr>
            <c:extLst>
              <c:ext xmlns:c16="http://schemas.microsoft.com/office/drawing/2014/chart" uri="{C3380CC4-5D6E-409C-BE32-E72D297353CC}">
                <c16:uniqueId val="{0000000F-9549-48E1-9389-DD9E370E7D32}"/>
              </c:ext>
            </c:extLst>
          </c:dPt>
          <c:cat>
            <c:strRef>
              <c:f>Sheet1!$A$7:$A$14</c:f>
              <c:strCache>
                <c:ptCount val="8"/>
                <c:pt idx="0">
                  <c:v>Food &amp; Drinks</c:v>
                </c:pt>
                <c:pt idx="1">
                  <c:v>Groceries</c:v>
                </c:pt>
                <c:pt idx="2">
                  <c:v>Travel</c:v>
                </c:pt>
                <c:pt idx="3">
                  <c:v>Utilities</c:v>
                </c:pt>
                <c:pt idx="4">
                  <c:v>Shopping</c:v>
                </c:pt>
                <c:pt idx="5">
                  <c:v>Savings</c:v>
                </c:pt>
                <c:pt idx="6">
                  <c:v>Emi</c:v>
                </c:pt>
                <c:pt idx="7">
                  <c:v>Net Total</c:v>
                </c:pt>
              </c:strCache>
            </c:strRef>
          </c:cat>
          <c:val>
            <c:numRef>
              <c:f>Sheet1!$B$7:$B$14</c:f>
              <c:numCache>
                <c:formatCode>[$₹]#,##0.00</c:formatCode>
                <c:ptCount val="8"/>
                <c:pt idx="0">
                  <c:v>190</c:v>
                </c:pt>
                <c:pt idx="1">
                  <c:v>58</c:v>
                </c:pt>
                <c:pt idx="2">
                  <c:v>5000</c:v>
                </c:pt>
                <c:pt idx="3">
                  <c:v>7500</c:v>
                </c:pt>
                <c:pt idx="4">
                  <c:v>9230</c:v>
                </c:pt>
                <c:pt idx="5">
                  <c:v>10000</c:v>
                </c:pt>
                <c:pt idx="6">
                  <c:v>1</c:v>
                </c:pt>
                <c:pt idx="7">
                  <c:v>63958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549-48E1-9389-DD9E370E7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IN" b="1">
                <a:solidFill>
                  <a:srgbClr val="757575"/>
                </a:solidFill>
                <a:latin typeface="+mn-lt"/>
              </a:rPr>
              <a:t> Actual</a:t>
            </a:r>
            <a:r>
              <a:rPr lang="en-IN" b="1" baseline="0">
                <a:solidFill>
                  <a:srgbClr val="757575"/>
                </a:solidFill>
                <a:latin typeface="+mn-lt"/>
              </a:rPr>
              <a:t> </a:t>
            </a:r>
            <a:r>
              <a:rPr lang="en-IN" b="1">
                <a:solidFill>
                  <a:srgbClr val="757575"/>
                </a:solidFill>
                <a:latin typeface="+mn-lt"/>
              </a:rPr>
              <a:t>vs. Goal</a:t>
            </a: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4285F4"/>
            </a:solidFill>
            <a:ln cmpd="sng">
              <a:noFill/>
            </a:ln>
          </c:spPr>
          <c:invertIfNegative val="1"/>
          <c:cat>
            <c:strRef>
              <c:f>Sheet1!$A$5:$A$13</c:f>
              <c:strCache>
                <c:ptCount val="9"/>
                <c:pt idx="0">
                  <c:v>Income</c:v>
                </c:pt>
                <c:pt idx="1">
                  <c:v>Expenses</c:v>
                </c:pt>
                <c:pt idx="2">
                  <c:v>Food &amp; Drinks</c:v>
                </c:pt>
                <c:pt idx="3">
                  <c:v>Groceries</c:v>
                </c:pt>
                <c:pt idx="4">
                  <c:v>Travel</c:v>
                </c:pt>
                <c:pt idx="5">
                  <c:v>Utilities</c:v>
                </c:pt>
                <c:pt idx="6">
                  <c:v>Shopping</c:v>
                </c:pt>
                <c:pt idx="7">
                  <c:v>Savings</c:v>
                </c:pt>
                <c:pt idx="8">
                  <c:v>Emi</c:v>
                </c:pt>
              </c:strCache>
            </c:strRef>
          </c:cat>
          <c:val>
            <c:numRef>
              <c:f>Sheet1!$B$5:$B$13</c:f>
              <c:numCache>
                <c:formatCode>[$₹]#,##0.00</c:formatCode>
                <c:ptCount val="9"/>
                <c:pt idx="0">
                  <c:v>35000</c:v>
                </c:pt>
                <c:pt idx="1">
                  <c:v>31979</c:v>
                </c:pt>
                <c:pt idx="2">
                  <c:v>190</c:v>
                </c:pt>
                <c:pt idx="3">
                  <c:v>58</c:v>
                </c:pt>
                <c:pt idx="4">
                  <c:v>5000</c:v>
                </c:pt>
                <c:pt idx="5">
                  <c:v>7500</c:v>
                </c:pt>
                <c:pt idx="6">
                  <c:v>9230</c:v>
                </c:pt>
                <c:pt idx="7">
                  <c:v>10000</c:v>
                </c:pt>
                <c:pt idx="8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80D-4B66-A575-A867A0BFFF4D}"/>
            </c:ext>
          </c:extLst>
        </c:ser>
        <c:ser>
          <c:idx val="1"/>
          <c:order val="1"/>
          <c:tx>
            <c:strRef>
              <c:f>Sheet1!$C$4</c:f>
              <c:strCache>
                <c:ptCount val="1"/>
                <c:pt idx="0">
                  <c:v>Goal</c:v>
                </c:pt>
              </c:strCache>
            </c:strRef>
          </c:tx>
          <c:spPr>
            <a:solidFill>
              <a:srgbClr val="EA4335"/>
            </a:solidFill>
            <a:ln cmpd="sng">
              <a:noFill/>
            </a:ln>
          </c:spPr>
          <c:invertIfNegative val="1"/>
          <c:cat>
            <c:strRef>
              <c:f>Sheet1!$A$5:$A$13</c:f>
              <c:strCache>
                <c:ptCount val="9"/>
                <c:pt idx="0">
                  <c:v>Income</c:v>
                </c:pt>
                <c:pt idx="1">
                  <c:v>Expenses</c:v>
                </c:pt>
                <c:pt idx="2">
                  <c:v>Food &amp; Drinks</c:v>
                </c:pt>
                <c:pt idx="3">
                  <c:v>Groceries</c:v>
                </c:pt>
                <c:pt idx="4">
                  <c:v>Travel</c:v>
                </c:pt>
                <c:pt idx="5">
                  <c:v>Utilities</c:v>
                </c:pt>
                <c:pt idx="6">
                  <c:v>Shopping</c:v>
                </c:pt>
                <c:pt idx="7">
                  <c:v>Savings</c:v>
                </c:pt>
                <c:pt idx="8">
                  <c:v>Emi</c:v>
                </c:pt>
              </c:strCache>
            </c:strRef>
          </c:cat>
          <c:val>
            <c:numRef>
              <c:f>Sheet1!$C$5:$C$13</c:f>
              <c:numCache>
                <c:formatCode>[$₹]#,##0.00</c:formatCode>
                <c:ptCount val="9"/>
                <c:pt idx="0">
                  <c:v>500000</c:v>
                </c:pt>
                <c:pt idx="1">
                  <c:v>100000</c:v>
                </c:pt>
                <c:pt idx="2">
                  <c:v>500</c:v>
                </c:pt>
                <c:pt idx="3">
                  <c:v>2000</c:v>
                </c:pt>
                <c:pt idx="4">
                  <c:v>10000</c:v>
                </c:pt>
                <c:pt idx="5">
                  <c:v>10000</c:v>
                </c:pt>
                <c:pt idx="6">
                  <c:v>20000</c:v>
                </c:pt>
                <c:pt idx="7">
                  <c:v>300000</c:v>
                </c:pt>
                <c:pt idx="8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80D-4B66-A575-A867A0BFF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01167567"/>
        <c:axId val="1512249739"/>
      </c:barChart>
      <c:catAx>
        <c:axId val="1001167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N" b="0">
                    <a:solidFill>
                      <a:srgbClr val="000000"/>
                    </a:solidFill>
                    <a:latin typeface="+mn-lt"/>
                  </a:rPr>
                  <a:t>Expenses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2249739"/>
        <c:crosses val="autoZero"/>
        <c:auto val="1"/>
        <c:lblAlgn val="ctr"/>
        <c:lblOffset val="100"/>
        <c:noMultiLvlLbl val="1"/>
      </c:catAx>
      <c:valAx>
        <c:axId val="15122497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IN"/>
              </a:p>
            </c:rich>
          </c:tx>
          <c:layout/>
          <c:overlay val="0"/>
        </c:title>
        <c:numFmt formatCode="[$₹]#,##0.00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01167567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57150</xdr:colOff>
      <xdr:row>2</xdr:row>
      <xdr:rowOff>6350</xdr:rowOff>
    </xdr:from>
    <xdr:ext cx="3432175" cy="2355850"/>
    <xdr:graphicFrame macro="">
      <xdr:nvGraphicFramePr>
        <xdr:cNvPr id="2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770793</xdr:colOff>
      <xdr:row>1</xdr:row>
      <xdr:rowOff>191964</xdr:rowOff>
    </xdr:from>
    <xdr:ext cx="3797300" cy="2362200"/>
    <xdr:graphicFrame macro="">
      <xdr:nvGraphicFramePr>
        <xdr:cNvPr id="3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15"/>
  <sheetViews>
    <sheetView tabSelected="1" zoomScale="65" workbookViewId="0">
      <selection activeCell="O10" sqref="O10"/>
    </sheetView>
  </sheetViews>
  <sheetFormatPr defaultColWidth="12.6328125" defaultRowHeight="15.75" customHeight="1" x14ac:dyDescent="0.25"/>
  <cols>
    <col min="1" max="1" width="16" customWidth="1"/>
    <col min="3" max="3" width="17.7265625" customWidth="1"/>
    <col min="5" max="5" width="15.90625" style="90" customWidth="1"/>
  </cols>
  <sheetData>
    <row r="1" spans="1:26" ht="23" x14ac:dyDescent="0.5">
      <c r="A1" s="99" t="s">
        <v>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"/>
      <c r="S1" s="1"/>
      <c r="T1" s="1"/>
      <c r="U1" s="1"/>
      <c r="V1" s="1"/>
      <c r="W1" s="1"/>
      <c r="X1" s="1"/>
      <c r="Y1" s="1"/>
      <c r="Z1" s="1"/>
    </row>
    <row r="2" spans="1:26" s="7" customFormat="1" ht="15.75" customHeight="1" x14ac:dyDescent="0.35">
      <c r="A2" s="4"/>
      <c r="B2" s="4"/>
      <c r="C2" s="4"/>
      <c r="D2" s="4"/>
      <c r="E2" s="87"/>
      <c r="F2" s="5"/>
      <c r="G2" s="6"/>
      <c r="H2" s="33"/>
      <c r="I2" s="34"/>
      <c r="J2" s="6"/>
      <c r="K2" s="6"/>
      <c r="L2" s="5"/>
      <c r="M2" s="6"/>
      <c r="N2" s="6"/>
      <c r="O2" s="5"/>
      <c r="P2" s="6"/>
      <c r="Q2" s="6"/>
      <c r="R2" s="5"/>
      <c r="S2" s="5"/>
      <c r="T2" s="5"/>
      <c r="U2" s="5"/>
      <c r="V2" s="5"/>
      <c r="W2" s="5"/>
      <c r="X2" s="5"/>
      <c r="Y2" s="5"/>
      <c r="Z2" s="5"/>
    </row>
    <row r="3" spans="1:26" s="7" customFormat="1" ht="15.75" customHeight="1" x14ac:dyDescent="0.4">
      <c r="A3" s="105" t="s">
        <v>1</v>
      </c>
      <c r="B3" s="96"/>
      <c r="C3" s="96"/>
      <c r="D3" s="96"/>
      <c r="E3" s="87"/>
      <c r="F3" s="5"/>
      <c r="G3" s="92"/>
      <c r="H3" s="9"/>
      <c r="I3" s="8"/>
      <c r="J3" s="93"/>
      <c r="K3" s="6"/>
      <c r="L3" s="5"/>
      <c r="M3" s="6"/>
      <c r="N3" s="6"/>
      <c r="O3" s="5"/>
      <c r="P3" s="6"/>
      <c r="Q3" s="6"/>
      <c r="R3" s="5"/>
      <c r="S3" s="5"/>
      <c r="T3" s="5"/>
      <c r="U3" s="5"/>
      <c r="V3" s="5"/>
      <c r="W3" s="5"/>
      <c r="X3" s="5"/>
      <c r="Y3" s="5"/>
      <c r="Z3" s="5"/>
    </row>
    <row r="4" spans="1:26" s="7" customFormat="1" ht="15.75" customHeight="1" x14ac:dyDescent="0.35">
      <c r="A4" s="13" t="s">
        <v>2</v>
      </c>
      <c r="B4" s="13" t="s">
        <v>3</v>
      </c>
      <c r="C4" s="13" t="s">
        <v>4</v>
      </c>
      <c r="D4" s="14" t="s">
        <v>5</v>
      </c>
      <c r="E4" s="88"/>
      <c r="F4" s="12"/>
      <c r="G4" s="31"/>
      <c r="H4" s="29"/>
      <c r="I4" s="30"/>
      <c r="J4" s="32"/>
      <c r="K4" s="11"/>
      <c r="L4" s="12"/>
      <c r="M4" s="11"/>
      <c r="O4" s="12"/>
      <c r="P4" s="11"/>
      <c r="Q4" s="32"/>
      <c r="R4" s="12"/>
      <c r="S4" s="12"/>
      <c r="T4" s="12"/>
      <c r="U4" s="12"/>
      <c r="V4" s="12"/>
      <c r="W4" s="12"/>
      <c r="X4" s="12"/>
      <c r="Y4" s="12"/>
      <c r="Z4" s="12"/>
    </row>
    <row r="5" spans="1:26" s="7" customFormat="1" ht="15.75" customHeight="1" x14ac:dyDescent="0.35">
      <c r="A5" s="15" t="s">
        <v>6</v>
      </c>
      <c r="B5" s="16">
        <f>B18</f>
        <v>35000</v>
      </c>
      <c r="C5" s="16">
        <f>B17</f>
        <v>500000</v>
      </c>
      <c r="D5" s="17">
        <f t="shared" ref="D5:D13" si="0">B5/C5</f>
        <v>7.0000000000000007E-2</v>
      </c>
      <c r="E5" s="88"/>
      <c r="F5" s="12"/>
      <c r="G5" s="31"/>
      <c r="H5" s="29"/>
      <c r="I5" s="30"/>
      <c r="J5" s="32"/>
      <c r="K5" s="11"/>
      <c r="L5" s="12"/>
      <c r="M5" s="11"/>
      <c r="N5" s="11"/>
      <c r="O5" s="12"/>
      <c r="P5" s="11"/>
      <c r="Q5" s="32"/>
      <c r="R5" s="12"/>
      <c r="S5" s="12"/>
      <c r="T5" s="12"/>
      <c r="U5" s="12"/>
      <c r="V5" s="12"/>
      <c r="W5" s="12"/>
      <c r="X5" s="12"/>
      <c r="Y5" s="12"/>
      <c r="Z5" s="12"/>
    </row>
    <row r="6" spans="1:26" s="7" customFormat="1" ht="15.75" customHeight="1" x14ac:dyDescent="0.35">
      <c r="A6" s="18" t="s">
        <v>7</v>
      </c>
      <c r="B6" s="19">
        <f>D18</f>
        <v>31979</v>
      </c>
      <c r="C6" s="19">
        <f>D17</f>
        <v>100000</v>
      </c>
      <c r="D6" s="17">
        <f t="shared" si="0"/>
        <v>0.31979000000000002</v>
      </c>
      <c r="E6" s="88"/>
      <c r="F6" s="12"/>
      <c r="G6" s="31"/>
      <c r="H6" s="29"/>
      <c r="I6" s="30"/>
      <c r="J6" s="32"/>
      <c r="K6" s="11"/>
      <c r="L6" s="12"/>
      <c r="M6" s="11"/>
      <c r="N6" s="11"/>
      <c r="O6" s="12"/>
      <c r="P6" s="11"/>
      <c r="Q6" s="32"/>
      <c r="R6" s="12"/>
      <c r="S6" s="12"/>
      <c r="T6" s="12"/>
      <c r="U6" s="12"/>
      <c r="V6" s="12"/>
      <c r="W6" s="12"/>
      <c r="X6" s="12"/>
      <c r="Y6" s="12"/>
      <c r="Z6" s="12"/>
    </row>
    <row r="7" spans="1:26" s="7" customFormat="1" ht="15.75" customHeight="1" x14ac:dyDescent="0.35">
      <c r="A7" s="20" t="s">
        <v>8</v>
      </c>
      <c r="B7" s="21">
        <f ca="1">H18</f>
        <v>190</v>
      </c>
      <c r="C7" s="21">
        <f>H17</f>
        <v>500</v>
      </c>
      <c r="D7" s="17">
        <f t="shared" ca="1" si="0"/>
        <v>0.38</v>
      </c>
      <c r="E7" s="88"/>
      <c r="F7" s="12"/>
      <c r="G7" s="31"/>
      <c r="H7" s="29"/>
      <c r="I7" s="30"/>
      <c r="J7" s="32"/>
      <c r="K7" s="11"/>
      <c r="L7" s="12"/>
      <c r="M7" s="11"/>
      <c r="N7" s="11"/>
      <c r="O7" s="12"/>
      <c r="P7" s="11"/>
      <c r="Q7" s="32"/>
      <c r="R7" s="12"/>
      <c r="S7" s="12"/>
      <c r="T7" s="12"/>
      <c r="U7" s="12"/>
      <c r="V7" s="12"/>
      <c r="W7" s="12"/>
      <c r="X7" s="12"/>
      <c r="Y7" s="12"/>
      <c r="Z7" s="12"/>
    </row>
    <row r="8" spans="1:26" s="7" customFormat="1" ht="15.75" customHeight="1" x14ac:dyDescent="0.35">
      <c r="A8" s="20" t="s">
        <v>9</v>
      </c>
      <c r="B8" s="21">
        <f ca="1">H30</f>
        <v>58</v>
      </c>
      <c r="C8" s="21">
        <f>H29</f>
        <v>2000</v>
      </c>
      <c r="D8" s="17">
        <f t="shared" ca="1" si="0"/>
        <v>2.9000000000000001E-2</v>
      </c>
      <c r="E8" s="88"/>
      <c r="F8" s="12"/>
      <c r="G8" s="31"/>
      <c r="H8" s="29"/>
      <c r="I8" s="30"/>
      <c r="J8" s="32"/>
      <c r="K8" s="11"/>
      <c r="L8" s="12"/>
      <c r="M8" s="11"/>
      <c r="N8" s="11"/>
      <c r="O8" s="12"/>
      <c r="P8" s="11"/>
      <c r="Q8" s="32"/>
      <c r="R8" s="12"/>
      <c r="S8" s="12"/>
      <c r="T8" s="12"/>
      <c r="U8" s="12"/>
      <c r="V8" s="12"/>
      <c r="W8" s="12"/>
      <c r="X8" s="12"/>
      <c r="Y8" s="12"/>
      <c r="Z8" s="12"/>
    </row>
    <row r="9" spans="1:26" s="7" customFormat="1" ht="15.75" customHeight="1" x14ac:dyDescent="0.35">
      <c r="A9" s="20" t="s">
        <v>10</v>
      </c>
      <c r="B9" s="21">
        <f ca="1">K18</f>
        <v>5000</v>
      </c>
      <c r="C9" s="21">
        <f>K17</f>
        <v>10000</v>
      </c>
      <c r="D9" s="17">
        <f t="shared" ca="1" si="0"/>
        <v>0.5</v>
      </c>
      <c r="E9" s="88"/>
      <c r="F9" s="12"/>
      <c r="G9" s="31"/>
      <c r="H9" s="29"/>
      <c r="I9" s="30"/>
      <c r="J9" s="32"/>
      <c r="K9" s="11"/>
      <c r="L9" s="12"/>
      <c r="M9" s="11"/>
      <c r="N9" s="11"/>
      <c r="O9" s="12"/>
      <c r="P9" s="11"/>
      <c r="Q9" s="32"/>
      <c r="R9" s="12"/>
      <c r="S9" s="12"/>
      <c r="T9" s="12"/>
      <c r="U9" s="12"/>
      <c r="V9" s="12"/>
      <c r="W9" s="12"/>
      <c r="X9" s="12"/>
      <c r="Y9" s="12"/>
      <c r="Z9" s="12"/>
    </row>
    <row r="10" spans="1:26" s="7" customFormat="1" ht="15.75" customHeight="1" x14ac:dyDescent="0.35">
      <c r="A10" s="20" t="s">
        <v>11</v>
      </c>
      <c r="B10" s="21">
        <f ca="1">K30</f>
        <v>7500</v>
      </c>
      <c r="C10" s="21">
        <f>K29</f>
        <v>10000</v>
      </c>
      <c r="D10" s="17">
        <f t="shared" ca="1" si="0"/>
        <v>0.75</v>
      </c>
      <c r="E10" s="88"/>
      <c r="F10" s="12"/>
      <c r="G10" s="31"/>
      <c r="H10" s="29"/>
      <c r="I10" s="30"/>
      <c r="J10" s="32"/>
      <c r="K10" s="11"/>
      <c r="L10" s="12"/>
      <c r="M10" s="11"/>
      <c r="N10" s="11"/>
      <c r="O10" s="12"/>
      <c r="P10" s="11"/>
      <c r="Q10" s="32"/>
      <c r="R10" s="12"/>
      <c r="S10" s="12"/>
      <c r="T10" s="12"/>
      <c r="U10" s="12"/>
      <c r="V10" s="12"/>
      <c r="W10" s="12"/>
      <c r="X10" s="12"/>
      <c r="Y10" s="12"/>
      <c r="Z10" s="12"/>
    </row>
    <row r="11" spans="1:26" s="7" customFormat="1" ht="15.75" customHeight="1" x14ac:dyDescent="0.35">
      <c r="A11" s="20" t="s">
        <v>12</v>
      </c>
      <c r="B11" s="21">
        <f ca="1">N18</f>
        <v>9230</v>
      </c>
      <c r="C11" s="21">
        <f>N17</f>
        <v>20000</v>
      </c>
      <c r="D11" s="17">
        <f t="shared" ca="1" si="0"/>
        <v>0.46150000000000002</v>
      </c>
      <c r="E11" s="88"/>
      <c r="F11" s="12"/>
      <c r="G11" s="31"/>
      <c r="H11" s="29"/>
      <c r="I11" s="30"/>
      <c r="J11" s="32"/>
      <c r="K11" s="11"/>
      <c r="L11" s="12"/>
      <c r="M11" s="11"/>
      <c r="N11" s="11"/>
      <c r="O11" s="12"/>
      <c r="P11" s="11"/>
      <c r="Q11" s="32"/>
      <c r="R11" s="12"/>
      <c r="S11" s="12"/>
      <c r="T11" s="12"/>
      <c r="U11" s="12"/>
      <c r="V11" s="12"/>
      <c r="W11" s="12"/>
      <c r="X11" s="12"/>
      <c r="Y11" s="12"/>
      <c r="Z11" s="12"/>
    </row>
    <row r="12" spans="1:26" s="7" customFormat="1" ht="15.75" customHeight="1" x14ac:dyDescent="0.35">
      <c r="A12" s="20" t="s">
        <v>13</v>
      </c>
      <c r="B12" s="21">
        <f ca="1">N30</f>
        <v>10000</v>
      </c>
      <c r="C12" s="21">
        <f>N29</f>
        <v>300000</v>
      </c>
      <c r="D12" s="17">
        <f t="shared" ca="1" si="0"/>
        <v>3.3333333333333333E-2</v>
      </c>
      <c r="E12" s="88"/>
      <c r="F12" s="12"/>
      <c r="G12" s="31"/>
      <c r="H12" s="29"/>
      <c r="I12" s="30"/>
      <c r="J12" s="32"/>
      <c r="K12" s="11"/>
      <c r="L12" s="12"/>
      <c r="M12" s="11"/>
      <c r="N12" s="11"/>
      <c r="O12" s="12"/>
      <c r="P12" s="11"/>
      <c r="Q12" s="11"/>
      <c r="R12" s="12"/>
      <c r="S12" s="12"/>
      <c r="T12" s="12"/>
      <c r="U12" s="12"/>
      <c r="V12" s="12"/>
      <c r="W12" s="12"/>
      <c r="X12" s="12"/>
      <c r="Y12" s="12"/>
      <c r="Z12" s="12"/>
    </row>
    <row r="13" spans="1:26" s="7" customFormat="1" ht="15.75" customHeight="1" x14ac:dyDescent="0.35">
      <c r="A13" s="20" t="s">
        <v>14</v>
      </c>
      <c r="B13" s="21">
        <f ca="1">Q18</f>
        <v>1</v>
      </c>
      <c r="C13" s="21">
        <f>Q17</f>
        <v>1</v>
      </c>
      <c r="D13" s="17">
        <f t="shared" ca="1" si="0"/>
        <v>1</v>
      </c>
      <c r="E13" s="88"/>
      <c r="F13" s="12"/>
      <c r="G13" s="31"/>
      <c r="H13" s="29"/>
      <c r="I13" s="30"/>
      <c r="J13" s="32"/>
      <c r="K13" s="11"/>
      <c r="L13" s="12"/>
      <c r="M13" s="11"/>
      <c r="N13" s="11"/>
      <c r="O13" s="12"/>
      <c r="P13" s="11"/>
      <c r="Q13" s="11"/>
      <c r="R13" s="12"/>
      <c r="S13" s="12"/>
      <c r="T13" s="12"/>
      <c r="U13" s="12"/>
      <c r="V13" s="12"/>
      <c r="W13" s="12"/>
      <c r="X13" s="12"/>
      <c r="Y13" s="12"/>
      <c r="Z13" s="12"/>
    </row>
    <row r="14" spans="1:26" s="28" customFormat="1" ht="15.75" customHeight="1" x14ac:dyDescent="0.35">
      <c r="A14" s="23" t="s">
        <v>15</v>
      </c>
      <c r="B14" s="24">
        <f t="shared" ref="B14:C14" ca="1" si="1">SUM(B6:B13)</f>
        <v>63958</v>
      </c>
      <c r="C14" s="24">
        <f t="shared" si="1"/>
        <v>442501</v>
      </c>
      <c r="D14" s="25"/>
      <c r="E14" s="89"/>
      <c r="F14" s="27"/>
      <c r="G14" s="36"/>
      <c r="H14" s="29"/>
      <c r="I14" s="94"/>
      <c r="J14" s="26"/>
      <c r="K14" s="26"/>
      <c r="L14" s="27"/>
      <c r="M14" s="26"/>
      <c r="N14" s="26"/>
      <c r="O14" s="27"/>
      <c r="P14" s="26"/>
      <c r="Q14" s="26"/>
      <c r="R14" s="27"/>
      <c r="S14" s="27"/>
      <c r="T14" s="27"/>
      <c r="U14" s="27"/>
      <c r="V14" s="27"/>
      <c r="W14" s="27"/>
      <c r="X14" s="27"/>
      <c r="Y14" s="27"/>
      <c r="Z14" s="27"/>
    </row>
    <row r="15" spans="1:26" s="7" customFormat="1" ht="15.75" customHeight="1" x14ac:dyDescent="0.35">
      <c r="A15" s="11"/>
      <c r="B15" s="11"/>
      <c r="C15" s="11"/>
      <c r="D15" s="11"/>
      <c r="E15" s="88"/>
      <c r="F15" s="12"/>
      <c r="G15" s="11"/>
      <c r="H15" s="35"/>
      <c r="I15" s="12"/>
      <c r="J15" s="11"/>
      <c r="K15" s="11"/>
      <c r="L15" s="12"/>
      <c r="M15" s="11"/>
      <c r="N15" s="11"/>
      <c r="O15" s="12"/>
      <c r="P15" s="11"/>
      <c r="Q15" s="11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5.75" customHeight="1" x14ac:dyDescent="0.35">
      <c r="A16" s="106" t="s">
        <v>6</v>
      </c>
      <c r="B16" s="96"/>
      <c r="C16" s="107" t="s">
        <v>7</v>
      </c>
      <c r="D16" s="96"/>
      <c r="E16" s="96"/>
      <c r="G16" s="101" t="s">
        <v>8</v>
      </c>
      <c r="H16" s="96"/>
      <c r="J16" s="108" t="s">
        <v>10</v>
      </c>
      <c r="K16" s="96"/>
      <c r="M16" s="109" t="s">
        <v>12</v>
      </c>
      <c r="N16" s="96"/>
      <c r="P16" s="95" t="s">
        <v>14</v>
      </c>
      <c r="Q16" s="96"/>
    </row>
    <row r="17" spans="1:17" ht="15.75" customHeight="1" x14ac:dyDescent="0.25">
      <c r="A17" s="37" t="s">
        <v>4</v>
      </c>
      <c r="B17" s="38">
        <v>500000</v>
      </c>
      <c r="C17" s="39" t="s">
        <v>4</v>
      </c>
      <c r="D17" s="40">
        <v>100000</v>
      </c>
      <c r="E17" s="97" t="s">
        <v>2</v>
      </c>
      <c r="G17" s="49" t="s">
        <v>16</v>
      </c>
      <c r="H17" s="50">
        <v>500</v>
      </c>
      <c r="J17" s="62" t="s">
        <v>16</v>
      </c>
      <c r="K17" s="63">
        <v>10000</v>
      </c>
      <c r="M17" s="74" t="s">
        <v>16</v>
      </c>
      <c r="N17" s="75">
        <v>20000</v>
      </c>
      <c r="P17" s="81" t="s">
        <v>16</v>
      </c>
      <c r="Q17" s="82">
        <v>1</v>
      </c>
    </row>
    <row r="18" spans="1:17" ht="15.75" customHeight="1" x14ac:dyDescent="0.25">
      <c r="A18" s="37" t="s">
        <v>3</v>
      </c>
      <c r="B18" s="41">
        <f>SUM(B19:B1015)</f>
        <v>35000</v>
      </c>
      <c r="C18" s="39" t="s">
        <v>3</v>
      </c>
      <c r="D18" s="42">
        <f>SUM(D19:D1015)</f>
        <v>31979</v>
      </c>
      <c r="E18" s="98"/>
      <c r="G18" s="49" t="s">
        <v>3</v>
      </c>
      <c r="H18" s="51">
        <f ca="1">SUM(H19:H26)</f>
        <v>190</v>
      </c>
      <c r="J18" s="62" t="s">
        <v>3</v>
      </c>
      <c r="K18" s="64">
        <f ca="1">SUM(K19:K26)</f>
        <v>5000</v>
      </c>
      <c r="M18" s="74" t="s">
        <v>3</v>
      </c>
      <c r="N18" s="76">
        <f ca="1">SUM(N19:N26)</f>
        <v>9230</v>
      </c>
      <c r="P18" s="81" t="s">
        <v>3</v>
      </c>
      <c r="Q18" s="83">
        <f ca="1">SUM(Q19:Q26)</f>
        <v>1</v>
      </c>
    </row>
    <row r="19" spans="1:17" ht="15.75" customHeight="1" x14ac:dyDescent="0.25">
      <c r="A19" s="110" t="s">
        <v>17</v>
      </c>
      <c r="B19" s="43">
        <v>35000</v>
      </c>
      <c r="C19" s="44" t="s">
        <v>18</v>
      </c>
      <c r="D19" s="45">
        <v>90</v>
      </c>
      <c r="E19" s="44" t="s">
        <v>19</v>
      </c>
      <c r="G19" s="52" t="str">
        <f ca="1">IFERROR(__xludf.DUMMYFUNCTION("FILTER($C:$D,$E:$E= ""Foods &amp; Drinks"")"),"Dominos")</f>
        <v>Dominos</v>
      </c>
      <c r="H19" s="53">
        <f ca="1">IFERROR(__xludf.DUMMYFUNCTION("""COMPUTED_VALUE"""),90)</f>
        <v>90</v>
      </c>
      <c r="J19" s="65" t="str">
        <f ca="1">IFERROR(__xludf.DUMMYFUNCTION("FILTER($C:$D,$E:$E= ""Travel"")"),"Club")</f>
        <v>Club</v>
      </c>
      <c r="K19" s="66">
        <f ca="1">IFERROR(__xludf.DUMMYFUNCTION("""COMPUTED_VALUE"""),5000)</f>
        <v>5000</v>
      </c>
      <c r="M19" s="77" t="str">
        <f ca="1">IFERROR(__xludf.DUMMYFUNCTION("FILTER($C:$D,$E:$E= ""Shopping"")"),"One8Shoes")</f>
        <v>One8Shoes</v>
      </c>
      <c r="N19" s="78">
        <f ca="1">IFERROR(__xludf.DUMMYFUNCTION("""COMPUTED_VALUE"""),9230)</f>
        <v>9230</v>
      </c>
      <c r="P19" s="84" t="str">
        <f ca="1">IFERROR(__xludf.DUMMYFUNCTION("FILTER($C:$D,$E:$E= ""Emi"")"),"Demo")</f>
        <v>Demo</v>
      </c>
      <c r="Q19" s="85">
        <f ca="1">IFERROR(__xludf.DUMMYFUNCTION("""COMPUTED_VALUE"""),1)</f>
        <v>1</v>
      </c>
    </row>
    <row r="20" spans="1:17" ht="15.75" customHeight="1" x14ac:dyDescent="0.25">
      <c r="A20" s="110"/>
      <c r="B20" s="47"/>
      <c r="C20" s="44" t="s">
        <v>20</v>
      </c>
      <c r="D20" s="45">
        <v>58</v>
      </c>
      <c r="E20" s="44" t="s">
        <v>9</v>
      </c>
      <c r="G20" s="52" t="str">
        <f ca="1">IFERROR(__xludf.DUMMYFUNCTION("""COMPUTED_VALUE"""),"Fried Rice")</f>
        <v>Fried Rice</v>
      </c>
      <c r="H20" s="53">
        <f ca="1">IFERROR(__xludf.DUMMYFUNCTION("""COMPUTED_VALUE"""),100)</f>
        <v>100</v>
      </c>
      <c r="J20" s="65"/>
      <c r="K20" s="65"/>
      <c r="M20" s="77"/>
      <c r="N20" s="77"/>
      <c r="P20" s="84"/>
      <c r="Q20" s="84"/>
    </row>
    <row r="21" spans="1:17" ht="15.75" customHeight="1" x14ac:dyDescent="0.25">
      <c r="A21" s="110"/>
      <c r="B21" s="47"/>
      <c r="C21" s="44" t="s">
        <v>21</v>
      </c>
      <c r="D21" s="45">
        <v>5000</v>
      </c>
      <c r="E21" s="44" t="s">
        <v>10</v>
      </c>
      <c r="G21" s="52"/>
      <c r="H21" s="54"/>
      <c r="J21" s="65"/>
      <c r="K21" s="67"/>
      <c r="M21" s="77"/>
      <c r="N21" s="79"/>
      <c r="P21" s="84"/>
      <c r="Q21" s="86"/>
    </row>
    <row r="22" spans="1:17" ht="12.5" x14ac:dyDescent="0.25">
      <c r="A22" s="110"/>
      <c r="B22" s="47"/>
      <c r="C22" s="44" t="s">
        <v>22</v>
      </c>
      <c r="D22" s="45">
        <v>100</v>
      </c>
      <c r="E22" s="44" t="s">
        <v>19</v>
      </c>
      <c r="G22" s="52"/>
      <c r="H22" s="52"/>
      <c r="J22" s="65"/>
      <c r="K22" s="65"/>
      <c r="M22" s="77"/>
      <c r="N22" s="77"/>
      <c r="P22" s="84"/>
      <c r="Q22" s="84"/>
    </row>
    <row r="23" spans="1:17" ht="12.5" x14ac:dyDescent="0.25">
      <c r="A23" s="110"/>
      <c r="B23" s="47"/>
      <c r="C23" s="44"/>
      <c r="D23" s="45">
        <v>10000</v>
      </c>
      <c r="E23" s="44" t="s">
        <v>13</v>
      </c>
      <c r="G23" s="52"/>
      <c r="H23" s="52"/>
      <c r="J23" s="65"/>
      <c r="K23" s="65"/>
      <c r="M23" s="77"/>
      <c r="N23" s="77"/>
      <c r="P23" s="84"/>
      <c r="Q23" s="84"/>
    </row>
    <row r="24" spans="1:17" ht="12.5" x14ac:dyDescent="0.25">
      <c r="A24" s="110"/>
      <c r="B24" s="47"/>
      <c r="C24" s="44" t="s">
        <v>23</v>
      </c>
      <c r="D24" s="45">
        <v>1</v>
      </c>
      <c r="E24" s="44" t="s">
        <v>14</v>
      </c>
      <c r="G24" s="52"/>
      <c r="H24" s="52"/>
      <c r="J24" s="65"/>
      <c r="K24" s="65"/>
      <c r="M24" s="77"/>
      <c r="N24" s="77"/>
      <c r="P24" s="84"/>
      <c r="Q24" s="84"/>
    </row>
    <row r="25" spans="1:17" ht="12.5" x14ac:dyDescent="0.25">
      <c r="A25" s="110"/>
      <c r="B25" s="47"/>
      <c r="C25" s="44" t="s">
        <v>24</v>
      </c>
      <c r="D25" s="45">
        <v>7500</v>
      </c>
      <c r="E25" s="44" t="s">
        <v>11</v>
      </c>
      <c r="G25" s="52"/>
      <c r="H25" s="52"/>
      <c r="J25" s="65"/>
      <c r="K25" s="65"/>
      <c r="M25" s="77"/>
      <c r="N25" s="77"/>
      <c r="P25" s="84"/>
      <c r="Q25" s="84"/>
    </row>
    <row r="26" spans="1:17" ht="12.5" x14ac:dyDescent="0.25">
      <c r="A26" s="110"/>
      <c r="B26" s="47"/>
      <c r="C26" s="44" t="s">
        <v>25</v>
      </c>
      <c r="D26" s="45">
        <v>9230</v>
      </c>
      <c r="E26" s="44" t="s">
        <v>12</v>
      </c>
      <c r="G26" s="52"/>
      <c r="H26" s="52"/>
      <c r="J26" s="65"/>
      <c r="K26" s="65"/>
      <c r="M26" s="77"/>
      <c r="N26" s="77"/>
      <c r="P26" s="84"/>
      <c r="Q26" s="84"/>
    </row>
    <row r="27" spans="1:17" ht="12.5" x14ac:dyDescent="0.25">
      <c r="A27" s="110"/>
      <c r="B27" s="47"/>
      <c r="C27" s="44"/>
      <c r="D27" s="48"/>
      <c r="E27" s="44"/>
      <c r="G27" s="1"/>
      <c r="H27" s="1"/>
    </row>
    <row r="28" spans="1:17" ht="16.5" x14ac:dyDescent="0.35">
      <c r="A28" s="110"/>
      <c r="B28" s="47"/>
      <c r="C28" s="44"/>
      <c r="D28" s="48"/>
      <c r="E28" s="44"/>
      <c r="G28" s="102" t="s">
        <v>9</v>
      </c>
      <c r="H28" s="96"/>
      <c r="J28" s="103" t="s">
        <v>11</v>
      </c>
      <c r="K28" s="96"/>
      <c r="M28" s="104" t="s">
        <v>13</v>
      </c>
      <c r="N28" s="96"/>
    </row>
    <row r="29" spans="1:17" ht="12.5" x14ac:dyDescent="0.25">
      <c r="A29" s="110"/>
      <c r="B29" s="47"/>
      <c r="C29" s="44"/>
      <c r="D29" s="48"/>
      <c r="E29" s="44"/>
      <c r="G29" s="55" t="s">
        <v>16</v>
      </c>
      <c r="H29" s="56">
        <v>2000</v>
      </c>
      <c r="J29" s="68" t="s">
        <v>16</v>
      </c>
      <c r="K29" s="69">
        <v>10000</v>
      </c>
      <c r="M29" s="37" t="s">
        <v>16</v>
      </c>
      <c r="N29" s="38">
        <v>300000</v>
      </c>
    </row>
    <row r="30" spans="1:17" ht="12.5" x14ac:dyDescent="0.25">
      <c r="A30" s="110"/>
      <c r="B30" s="47"/>
      <c r="C30" s="44"/>
      <c r="D30" s="48"/>
      <c r="E30" s="44"/>
      <c r="G30" s="55" t="s">
        <v>3</v>
      </c>
      <c r="H30" s="57">
        <f ca="1">SUM(H31:H38)</f>
        <v>58</v>
      </c>
      <c r="J30" s="68" t="s">
        <v>3</v>
      </c>
      <c r="K30" s="70">
        <f ca="1">SUM(K31:K38)</f>
        <v>7500</v>
      </c>
      <c r="M30" s="37" t="s">
        <v>3</v>
      </c>
      <c r="N30" s="41">
        <f ca="1">SUM(N31:N38)</f>
        <v>10000</v>
      </c>
    </row>
    <row r="31" spans="1:17" ht="12.5" x14ac:dyDescent="0.25">
      <c r="A31" s="110"/>
      <c r="B31" s="47"/>
      <c r="C31" s="44"/>
      <c r="D31" s="48"/>
      <c r="E31" s="44"/>
      <c r="G31" s="58" t="str">
        <f ca="1">IFERROR(__xludf.DUMMYFUNCTION("FILTER(C:D,E:E= ""Groceries"")"),"Biscuits")</f>
        <v>Biscuits</v>
      </c>
      <c r="H31" s="59">
        <f ca="1">IFERROR(__xludf.DUMMYFUNCTION("""COMPUTED_VALUE"""),58)</f>
        <v>58</v>
      </c>
      <c r="J31" s="71" t="str">
        <f ca="1">IFERROR(__xludf.DUMMYFUNCTION("FILTER($C:$D,$E:$E= ""Utilities"")"),"Rent")</f>
        <v>Rent</v>
      </c>
      <c r="K31" s="72">
        <f ca="1">IFERROR(__xludf.DUMMYFUNCTION("""COMPUTED_VALUE"""),7500)</f>
        <v>7500</v>
      </c>
      <c r="M31" s="46" t="str">
        <f ca="1">IFERROR(__xludf.DUMMYFUNCTION("FILTER($C:$D,$E:$E= ""Savings"")"),"")</f>
        <v/>
      </c>
      <c r="N31" s="47">
        <f ca="1">IFERROR(__xludf.DUMMYFUNCTION("""COMPUTED_VALUE"""),10000)</f>
        <v>10000</v>
      </c>
    </row>
    <row r="32" spans="1:17" ht="12.5" x14ac:dyDescent="0.25">
      <c r="A32" s="110"/>
      <c r="B32" s="47"/>
      <c r="C32" s="44"/>
      <c r="D32" s="48"/>
      <c r="E32" s="44"/>
      <c r="G32" s="60" t="s">
        <v>26</v>
      </c>
      <c r="H32" s="58"/>
      <c r="J32" s="71"/>
      <c r="K32" s="71"/>
      <c r="M32" s="46"/>
      <c r="N32" s="46"/>
    </row>
    <row r="33" spans="1:14" ht="12.5" x14ac:dyDescent="0.25">
      <c r="A33" s="110"/>
      <c r="B33" s="47"/>
      <c r="C33" s="44"/>
      <c r="D33" s="48"/>
      <c r="E33" s="44"/>
      <c r="G33" s="58"/>
      <c r="H33" s="61"/>
      <c r="J33" s="71"/>
      <c r="K33" s="73"/>
      <c r="M33" s="46"/>
      <c r="N33" s="80"/>
    </row>
    <row r="34" spans="1:14" ht="12.5" x14ac:dyDescent="0.25">
      <c r="A34" s="110"/>
      <c r="B34" s="47"/>
      <c r="C34" s="44"/>
      <c r="D34" s="48"/>
      <c r="E34" s="44"/>
      <c r="G34" s="58"/>
      <c r="H34" s="58"/>
      <c r="J34" s="71"/>
      <c r="K34" s="71"/>
      <c r="M34" s="46"/>
      <c r="N34" s="46"/>
    </row>
    <row r="35" spans="1:14" ht="12.5" x14ac:dyDescent="0.25">
      <c r="A35" s="110"/>
      <c r="B35" s="47"/>
      <c r="C35" s="44"/>
      <c r="D35" s="48"/>
      <c r="E35" s="44"/>
      <c r="G35" s="58"/>
      <c r="H35" s="58"/>
      <c r="J35" s="71"/>
      <c r="K35" s="71"/>
      <c r="M35" s="46"/>
      <c r="N35" s="46"/>
    </row>
    <row r="36" spans="1:14" ht="12.5" x14ac:dyDescent="0.25">
      <c r="A36" s="110"/>
      <c r="B36" s="47"/>
      <c r="C36" s="44"/>
      <c r="D36" s="48"/>
      <c r="E36" s="44"/>
      <c r="G36" s="58"/>
      <c r="H36" s="58"/>
      <c r="J36" s="71"/>
      <c r="K36" s="71"/>
      <c r="M36" s="46"/>
      <c r="N36" s="46"/>
    </row>
    <row r="37" spans="1:14" ht="12.5" x14ac:dyDescent="0.25">
      <c r="A37" s="110"/>
      <c r="B37" s="47"/>
      <c r="C37" s="44"/>
      <c r="D37" s="48"/>
      <c r="E37" s="44"/>
      <c r="G37" s="58"/>
      <c r="H37" s="58"/>
      <c r="J37" s="71"/>
      <c r="K37" s="71"/>
      <c r="M37" s="46"/>
      <c r="N37" s="46"/>
    </row>
    <row r="38" spans="1:14" ht="12.5" x14ac:dyDescent="0.25">
      <c r="A38" s="110"/>
      <c r="B38" s="47"/>
      <c r="C38" s="44"/>
      <c r="D38" s="48"/>
      <c r="E38" s="44"/>
      <c r="G38" s="58"/>
      <c r="H38" s="58"/>
      <c r="J38" s="71"/>
      <c r="K38" s="71"/>
      <c r="M38" s="46"/>
      <c r="N38" s="46"/>
    </row>
    <row r="39" spans="1:14" ht="12.5" x14ac:dyDescent="0.25">
      <c r="A39" s="90"/>
      <c r="B39" s="2"/>
      <c r="C39" s="3"/>
      <c r="D39" s="2"/>
    </row>
    <row r="40" spans="1:14" ht="12.5" x14ac:dyDescent="0.25">
      <c r="A40" s="90"/>
      <c r="B40" s="2"/>
      <c r="C40" s="3"/>
      <c r="D40" s="2"/>
    </row>
    <row r="41" spans="1:14" ht="12.5" x14ac:dyDescent="0.25">
      <c r="A41" s="90"/>
      <c r="B41" s="2"/>
      <c r="C41" s="3"/>
      <c r="D41" s="2"/>
    </row>
    <row r="42" spans="1:14" ht="12.5" x14ac:dyDescent="0.25">
      <c r="A42" s="90"/>
      <c r="B42" s="2"/>
      <c r="C42" s="3"/>
      <c r="D42" s="2"/>
    </row>
    <row r="43" spans="1:14" ht="12.5" x14ac:dyDescent="0.25">
      <c r="A43" s="90"/>
      <c r="B43" s="2"/>
      <c r="C43" s="3"/>
    </row>
    <row r="44" spans="1:14" ht="12.5" x14ac:dyDescent="0.25">
      <c r="A44" s="90"/>
      <c r="C44" s="3"/>
    </row>
    <row r="45" spans="1:14" ht="12.5" x14ac:dyDescent="0.25">
      <c r="A45" s="90"/>
      <c r="C45" s="3"/>
    </row>
    <row r="46" spans="1:14" s="10" customFormat="1" ht="12.5" x14ac:dyDescent="0.25">
      <c r="A46" s="91"/>
      <c r="C46" s="22"/>
      <c r="E46" s="91"/>
    </row>
    <row r="47" spans="1:14" ht="12.5" x14ac:dyDescent="0.25">
      <c r="A47" s="90"/>
      <c r="C47" s="3"/>
    </row>
    <row r="48" spans="1:14" ht="12.5" x14ac:dyDescent="0.25">
      <c r="A48" s="90"/>
      <c r="C48" s="3"/>
    </row>
    <row r="49" spans="1:5" s="10" customFormat="1" ht="12.5" x14ac:dyDescent="0.25">
      <c r="A49" s="91"/>
      <c r="C49" s="22"/>
      <c r="E49" s="91"/>
    </row>
    <row r="50" spans="1:5" ht="12.5" x14ac:dyDescent="0.25">
      <c r="A50" s="90"/>
      <c r="C50" s="3"/>
    </row>
    <row r="51" spans="1:5" ht="12.5" x14ac:dyDescent="0.25">
      <c r="A51" s="90"/>
      <c r="C51" s="3"/>
    </row>
    <row r="52" spans="1:5" ht="12.5" x14ac:dyDescent="0.25">
      <c r="A52" s="90"/>
      <c r="C52" s="3"/>
    </row>
    <row r="53" spans="1:5" ht="12.5" x14ac:dyDescent="0.25">
      <c r="A53" s="90"/>
      <c r="C53" s="3"/>
    </row>
    <row r="54" spans="1:5" ht="12.5" x14ac:dyDescent="0.25">
      <c r="A54" s="90"/>
      <c r="C54" s="3"/>
    </row>
    <row r="55" spans="1:5" ht="12.5" x14ac:dyDescent="0.25">
      <c r="A55" s="90"/>
      <c r="C55" s="3"/>
    </row>
    <row r="56" spans="1:5" ht="12.5" x14ac:dyDescent="0.25">
      <c r="A56" s="90"/>
      <c r="C56" s="3"/>
    </row>
    <row r="57" spans="1:5" ht="12.5" x14ac:dyDescent="0.25">
      <c r="A57" s="90"/>
      <c r="C57" s="3"/>
    </row>
    <row r="58" spans="1:5" ht="12.5" x14ac:dyDescent="0.25">
      <c r="A58" s="90"/>
      <c r="C58" s="3"/>
    </row>
    <row r="59" spans="1:5" ht="12.5" x14ac:dyDescent="0.25">
      <c r="A59" s="90"/>
      <c r="C59" s="3"/>
    </row>
    <row r="60" spans="1:5" ht="12.5" x14ac:dyDescent="0.25">
      <c r="A60" s="90"/>
      <c r="C60" s="3"/>
    </row>
    <row r="61" spans="1:5" ht="12.5" x14ac:dyDescent="0.25">
      <c r="A61" s="90"/>
      <c r="C61" s="3"/>
    </row>
    <row r="62" spans="1:5" ht="12.5" x14ac:dyDescent="0.25">
      <c r="A62" s="90"/>
      <c r="C62" s="3"/>
    </row>
    <row r="63" spans="1:5" ht="12.5" x14ac:dyDescent="0.25">
      <c r="A63" s="90"/>
      <c r="C63" s="3"/>
    </row>
    <row r="64" spans="1:5" ht="12.5" x14ac:dyDescent="0.25">
      <c r="A64" s="90"/>
      <c r="C64" s="3"/>
    </row>
    <row r="65" spans="1:3" ht="12.5" x14ac:dyDescent="0.25">
      <c r="A65" s="90"/>
      <c r="C65" s="3"/>
    </row>
    <row r="66" spans="1:3" ht="12.5" x14ac:dyDescent="0.25">
      <c r="A66" s="90"/>
      <c r="C66" s="3"/>
    </row>
    <row r="67" spans="1:3" ht="12.5" x14ac:dyDescent="0.25">
      <c r="A67" s="90"/>
      <c r="C67" s="3"/>
    </row>
    <row r="68" spans="1:3" ht="12.5" x14ac:dyDescent="0.25">
      <c r="A68" s="90"/>
      <c r="C68" s="3"/>
    </row>
    <row r="69" spans="1:3" ht="12.5" x14ac:dyDescent="0.25">
      <c r="A69" s="90"/>
      <c r="C69" s="3"/>
    </row>
    <row r="70" spans="1:3" ht="12.5" x14ac:dyDescent="0.25">
      <c r="A70" s="90"/>
      <c r="C70" s="3"/>
    </row>
    <row r="71" spans="1:3" ht="12.5" x14ac:dyDescent="0.25">
      <c r="A71" s="90"/>
      <c r="C71" s="3"/>
    </row>
    <row r="72" spans="1:3" ht="12.5" x14ac:dyDescent="0.25">
      <c r="A72" s="90"/>
      <c r="C72" s="3"/>
    </row>
    <row r="73" spans="1:3" ht="12.5" x14ac:dyDescent="0.25">
      <c r="A73" s="90"/>
      <c r="C73" s="3"/>
    </row>
    <row r="74" spans="1:3" ht="12.5" x14ac:dyDescent="0.25">
      <c r="A74" s="90"/>
      <c r="C74" s="3"/>
    </row>
    <row r="75" spans="1:3" ht="12.5" x14ac:dyDescent="0.25">
      <c r="A75" s="90"/>
      <c r="C75" s="3"/>
    </row>
    <row r="76" spans="1:3" ht="12.5" x14ac:dyDescent="0.25">
      <c r="A76" s="90"/>
      <c r="C76" s="3"/>
    </row>
    <row r="77" spans="1:3" ht="12.5" x14ac:dyDescent="0.25">
      <c r="A77" s="90"/>
      <c r="C77" s="3"/>
    </row>
    <row r="78" spans="1:3" ht="12.5" x14ac:dyDescent="0.25">
      <c r="A78" s="90"/>
      <c r="C78" s="3"/>
    </row>
    <row r="79" spans="1:3" ht="12.5" x14ac:dyDescent="0.25">
      <c r="A79" s="90"/>
      <c r="C79" s="3"/>
    </row>
    <row r="80" spans="1:3" ht="12.5" x14ac:dyDescent="0.25">
      <c r="A80" s="90"/>
      <c r="C80" s="3"/>
    </row>
    <row r="81" spans="1:3" ht="12.5" x14ac:dyDescent="0.25">
      <c r="A81" s="90"/>
      <c r="C81" s="3"/>
    </row>
    <row r="82" spans="1:3" ht="12.5" x14ac:dyDescent="0.25">
      <c r="A82" s="90"/>
      <c r="C82" s="3"/>
    </row>
    <row r="83" spans="1:3" ht="12.5" x14ac:dyDescent="0.25">
      <c r="A83" s="90"/>
      <c r="C83" s="3"/>
    </row>
    <row r="84" spans="1:3" ht="12.5" x14ac:dyDescent="0.25">
      <c r="A84" s="90"/>
      <c r="C84" s="3"/>
    </row>
    <row r="85" spans="1:3" ht="12.5" x14ac:dyDescent="0.25">
      <c r="A85" s="90"/>
      <c r="C85" s="3"/>
    </row>
    <row r="86" spans="1:3" ht="12.5" x14ac:dyDescent="0.25">
      <c r="A86" s="90"/>
      <c r="C86" s="3"/>
    </row>
    <row r="87" spans="1:3" ht="12.5" x14ac:dyDescent="0.25">
      <c r="A87" s="90"/>
      <c r="C87" s="3"/>
    </row>
    <row r="88" spans="1:3" ht="12.5" x14ac:dyDescent="0.25">
      <c r="A88" s="90"/>
      <c r="C88" s="3"/>
    </row>
    <row r="89" spans="1:3" ht="12.5" x14ac:dyDescent="0.25">
      <c r="A89" s="90"/>
      <c r="C89" s="3"/>
    </row>
    <row r="90" spans="1:3" ht="12.5" x14ac:dyDescent="0.25">
      <c r="A90" s="90"/>
      <c r="C90" s="3"/>
    </row>
    <row r="91" spans="1:3" ht="12.5" x14ac:dyDescent="0.25">
      <c r="A91" s="90"/>
      <c r="C91" s="3"/>
    </row>
    <row r="92" spans="1:3" ht="12.5" x14ac:dyDescent="0.25">
      <c r="A92" s="90"/>
      <c r="C92" s="3"/>
    </row>
    <row r="93" spans="1:3" ht="12.5" x14ac:dyDescent="0.25">
      <c r="A93" s="90"/>
      <c r="C93" s="3"/>
    </row>
    <row r="94" spans="1:3" ht="12.5" x14ac:dyDescent="0.25">
      <c r="A94" s="90"/>
      <c r="C94" s="3"/>
    </row>
    <row r="95" spans="1:3" ht="12.5" x14ac:dyDescent="0.25">
      <c r="A95" s="90"/>
      <c r="C95" s="3"/>
    </row>
    <row r="96" spans="1:3" ht="12.5" x14ac:dyDescent="0.25">
      <c r="A96" s="90"/>
      <c r="C96" s="3"/>
    </row>
    <row r="97" spans="1:3" ht="12.5" x14ac:dyDescent="0.25">
      <c r="A97" s="90"/>
      <c r="C97" s="3"/>
    </row>
    <row r="98" spans="1:3" ht="12.5" x14ac:dyDescent="0.25">
      <c r="A98" s="90"/>
      <c r="C98" s="3"/>
    </row>
    <row r="99" spans="1:3" ht="12.5" x14ac:dyDescent="0.25">
      <c r="A99" s="90"/>
      <c r="C99" s="3"/>
    </row>
    <row r="100" spans="1:3" ht="12.5" x14ac:dyDescent="0.25">
      <c r="A100" s="90"/>
      <c r="C100" s="3"/>
    </row>
    <row r="101" spans="1:3" ht="12.5" x14ac:dyDescent="0.25">
      <c r="A101" s="90"/>
      <c r="C101" s="3"/>
    </row>
    <row r="102" spans="1:3" ht="12.5" x14ac:dyDescent="0.25">
      <c r="C102" s="3"/>
    </row>
    <row r="103" spans="1:3" ht="12.5" x14ac:dyDescent="0.25">
      <c r="C103" s="3"/>
    </row>
    <row r="104" spans="1:3" ht="12.5" x14ac:dyDescent="0.25">
      <c r="C104" s="3"/>
    </row>
    <row r="105" spans="1:3" ht="12.5" x14ac:dyDescent="0.25">
      <c r="C105" s="3"/>
    </row>
    <row r="106" spans="1:3" ht="12.5" x14ac:dyDescent="0.25">
      <c r="C106" s="3"/>
    </row>
    <row r="107" spans="1:3" ht="12.5" x14ac:dyDescent="0.25">
      <c r="C107" s="3"/>
    </row>
    <row r="108" spans="1:3" ht="12.5" x14ac:dyDescent="0.25">
      <c r="C108" s="3"/>
    </row>
    <row r="109" spans="1:3" ht="12.5" x14ac:dyDescent="0.25">
      <c r="C109" s="3"/>
    </row>
    <row r="110" spans="1:3" ht="12.5" x14ac:dyDescent="0.25">
      <c r="C110" s="3"/>
    </row>
    <row r="111" spans="1:3" ht="12.5" x14ac:dyDescent="0.25">
      <c r="C111" s="3"/>
    </row>
    <row r="112" spans="1:3" ht="12.5" x14ac:dyDescent="0.25">
      <c r="C112" s="3"/>
    </row>
    <row r="113" spans="3:3" ht="12.5" x14ac:dyDescent="0.25">
      <c r="C113" s="3"/>
    </row>
    <row r="114" spans="3:3" ht="12.5" x14ac:dyDescent="0.25">
      <c r="C114" s="3"/>
    </row>
    <row r="115" spans="3:3" ht="12.5" x14ac:dyDescent="0.25">
      <c r="C115" s="3"/>
    </row>
    <row r="116" spans="3:3" ht="12.5" x14ac:dyDescent="0.25">
      <c r="C116" s="3"/>
    </row>
    <row r="117" spans="3:3" ht="12.5" x14ac:dyDescent="0.25">
      <c r="C117" s="3"/>
    </row>
    <row r="118" spans="3:3" ht="12.5" x14ac:dyDescent="0.25">
      <c r="C118" s="3"/>
    </row>
    <row r="119" spans="3:3" ht="12.5" x14ac:dyDescent="0.25">
      <c r="C119" s="3"/>
    </row>
    <row r="120" spans="3:3" ht="12.5" x14ac:dyDescent="0.25">
      <c r="C120" s="3"/>
    </row>
    <row r="121" spans="3:3" ht="12.5" x14ac:dyDescent="0.25">
      <c r="C121" s="3"/>
    </row>
    <row r="122" spans="3:3" ht="12.5" x14ac:dyDescent="0.25">
      <c r="C122" s="3"/>
    </row>
    <row r="123" spans="3:3" ht="12.5" x14ac:dyDescent="0.25">
      <c r="C123" s="3"/>
    </row>
    <row r="124" spans="3:3" ht="12.5" x14ac:dyDescent="0.25">
      <c r="C124" s="3"/>
    </row>
    <row r="125" spans="3:3" ht="12.5" x14ac:dyDescent="0.25">
      <c r="C125" s="3"/>
    </row>
    <row r="126" spans="3:3" ht="12.5" x14ac:dyDescent="0.25">
      <c r="C126" s="3"/>
    </row>
    <row r="127" spans="3:3" ht="12.5" x14ac:dyDescent="0.25">
      <c r="C127" s="3"/>
    </row>
    <row r="128" spans="3:3" ht="12.5" x14ac:dyDescent="0.25">
      <c r="C128" s="3"/>
    </row>
    <row r="129" spans="3:3" ht="12.5" x14ac:dyDescent="0.25">
      <c r="C129" s="3"/>
    </row>
    <row r="130" spans="3:3" ht="12.5" x14ac:dyDescent="0.25">
      <c r="C130" s="3"/>
    </row>
    <row r="131" spans="3:3" ht="12.5" x14ac:dyDescent="0.25">
      <c r="C131" s="3"/>
    </row>
    <row r="132" spans="3:3" ht="12.5" x14ac:dyDescent="0.25">
      <c r="C132" s="3"/>
    </row>
    <row r="133" spans="3:3" ht="12.5" x14ac:dyDescent="0.25">
      <c r="C133" s="3"/>
    </row>
    <row r="134" spans="3:3" ht="12.5" x14ac:dyDescent="0.25">
      <c r="C134" s="3"/>
    </row>
    <row r="135" spans="3:3" ht="12.5" x14ac:dyDescent="0.25">
      <c r="C135" s="3"/>
    </row>
    <row r="136" spans="3:3" ht="12.5" x14ac:dyDescent="0.25">
      <c r="C136" s="3"/>
    </row>
    <row r="137" spans="3:3" ht="12.5" x14ac:dyDescent="0.25">
      <c r="C137" s="3"/>
    </row>
    <row r="138" spans="3:3" ht="12.5" x14ac:dyDescent="0.25">
      <c r="C138" s="3"/>
    </row>
    <row r="139" spans="3:3" ht="12.5" x14ac:dyDescent="0.25">
      <c r="C139" s="3"/>
    </row>
    <row r="140" spans="3:3" ht="12.5" x14ac:dyDescent="0.25">
      <c r="C140" s="3"/>
    </row>
    <row r="141" spans="3:3" ht="12.5" x14ac:dyDescent="0.25">
      <c r="C141" s="3"/>
    </row>
    <row r="142" spans="3:3" ht="12.5" x14ac:dyDescent="0.25">
      <c r="C142" s="3"/>
    </row>
    <row r="143" spans="3:3" ht="12.5" x14ac:dyDescent="0.25">
      <c r="C143" s="3"/>
    </row>
    <row r="144" spans="3:3" ht="12.5" x14ac:dyDescent="0.25">
      <c r="C144" s="3"/>
    </row>
    <row r="145" spans="3:3" ht="12.5" x14ac:dyDescent="0.25">
      <c r="C145" s="3"/>
    </row>
    <row r="146" spans="3:3" ht="12.5" x14ac:dyDescent="0.25">
      <c r="C146" s="3"/>
    </row>
    <row r="147" spans="3:3" ht="12.5" x14ac:dyDescent="0.25">
      <c r="C147" s="3"/>
    </row>
    <row r="148" spans="3:3" ht="12.5" x14ac:dyDescent="0.25">
      <c r="C148" s="3"/>
    </row>
    <row r="149" spans="3:3" ht="12.5" x14ac:dyDescent="0.25">
      <c r="C149" s="3"/>
    </row>
    <row r="150" spans="3:3" ht="12.5" x14ac:dyDescent="0.25">
      <c r="C150" s="3"/>
    </row>
    <row r="151" spans="3:3" ht="12.5" x14ac:dyDescent="0.25">
      <c r="C151" s="3"/>
    </row>
    <row r="152" spans="3:3" ht="12.5" x14ac:dyDescent="0.25">
      <c r="C152" s="3"/>
    </row>
    <row r="153" spans="3:3" ht="12.5" x14ac:dyDescent="0.25">
      <c r="C153" s="3"/>
    </row>
    <row r="154" spans="3:3" ht="12.5" x14ac:dyDescent="0.25">
      <c r="C154" s="3"/>
    </row>
    <row r="155" spans="3:3" ht="12.5" x14ac:dyDescent="0.25">
      <c r="C155" s="3"/>
    </row>
    <row r="156" spans="3:3" ht="12.5" x14ac:dyDescent="0.25">
      <c r="C156" s="3"/>
    </row>
    <row r="157" spans="3:3" ht="12.5" x14ac:dyDescent="0.25">
      <c r="C157" s="3"/>
    </row>
    <row r="158" spans="3:3" ht="12.5" x14ac:dyDescent="0.25">
      <c r="C158" s="3"/>
    </row>
    <row r="159" spans="3:3" ht="12.5" x14ac:dyDescent="0.25">
      <c r="C159" s="3"/>
    </row>
    <row r="160" spans="3:3" ht="12.5" x14ac:dyDescent="0.25">
      <c r="C160" s="3"/>
    </row>
    <row r="161" spans="3:3" ht="12.5" x14ac:dyDescent="0.25">
      <c r="C161" s="3"/>
    </row>
    <row r="162" spans="3:3" ht="12.5" x14ac:dyDescent="0.25">
      <c r="C162" s="3"/>
    </row>
    <row r="163" spans="3:3" ht="12.5" x14ac:dyDescent="0.25">
      <c r="C163" s="3"/>
    </row>
    <row r="164" spans="3:3" ht="12.5" x14ac:dyDescent="0.25">
      <c r="C164" s="3"/>
    </row>
    <row r="165" spans="3:3" ht="12.5" x14ac:dyDescent="0.25">
      <c r="C165" s="3"/>
    </row>
    <row r="166" spans="3:3" ht="12.5" x14ac:dyDescent="0.25">
      <c r="C166" s="3"/>
    </row>
    <row r="167" spans="3:3" ht="12.5" x14ac:dyDescent="0.25">
      <c r="C167" s="3"/>
    </row>
    <row r="168" spans="3:3" ht="12.5" x14ac:dyDescent="0.25">
      <c r="C168" s="3"/>
    </row>
    <row r="169" spans="3:3" ht="12.5" x14ac:dyDescent="0.25">
      <c r="C169" s="3"/>
    </row>
    <row r="170" spans="3:3" ht="12.5" x14ac:dyDescent="0.25">
      <c r="C170" s="3"/>
    </row>
    <row r="171" spans="3:3" ht="12.5" x14ac:dyDescent="0.25">
      <c r="C171" s="3"/>
    </row>
    <row r="172" spans="3:3" ht="12.5" x14ac:dyDescent="0.25">
      <c r="C172" s="3"/>
    </row>
    <row r="173" spans="3:3" ht="12.5" x14ac:dyDescent="0.25">
      <c r="C173" s="3"/>
    </row>
    <row r="174" spans="3:3" ht="12.5" x14ac:dyDescent="0.25">
      <c r="C174" s="3"/>
    </row>
    <row r="175" spans="3:3" ht="12.5" x14ac:dyDescent="0.25">
      <c r="C175" s="3"/>
    </row>
    <row r="176" spans="3:3" ht="12.5" x14ac:dyDescent="0.25">
      <c r="C176" s="3"/>
    </row>
    <row r="177" spans="3:3" ht="12.5" x14ac:dyDescent="0.25">
      <c r="C177" s="3"/>
    </row>
    <row r="178" spans="3:3" ht="12.5" x14ac:dyDescent="0.25">
      <c r="C178" s="3"/>
    </row>
    <row r="179" spans="3:3" ht="12.5" x14ac:dyDescent="0.25">
      <c r="C179" s="3"/>
    </row>
    <row r="180" spans="3:3" ht="12.5" x14ac:dyDescent="0.25">
      <c r="C180" s="3"/>
    </row>
    <row r="181" spans="3:3" ht="12.5" x14ac:dyDescent="0.25">
      <c r="C181" s="3"/>
    </row>
    <row r="182" spans="3:3" ht="12.5" x14ac:dyDescent="0.25">
      <c r="C182" s="3"/>
    </row>
    <row r="183" spans="3:3" ht="12.5" x14ac:dyDescent="0.25">
      <c r="C183" s="3"/>
    </row>
    <row r="184" spans="3:3" ht="12.5" x14ac:dyDescent="0.25">
      <c r="C184" s="3"/>
    </row>
    <row r="185" spans="3:3" ht="12.5" x14ac:dyDescent="0.25">
      <c r="C185" s="3"/>
    </row>
    <row r="186" spans="3:3" ht="12.5" x14ac:dyDescent="0.25">
      <c r="C186" s="3"/>
    </row>
    <row r="187" spans="3:3" ht="12.5" x14ac:dyDescent="0.25">
      <c r="C187" s="3"/>
    </row>
    <row r="188" spans="3:3" ht="12.5" x14ac:dyDescent="0.25">
      <c r="C188" s="3"/>
    </row>
    <row r="189" spans="3:3" ht="12.5" x14ac:dyDescent="0.25">
      <c r="C189" s="3"/>
    </row>
    <row r="190" spans="3:3" ht="12.5" x14ac:dyDescent="0.25">
      <c r="C190" s="3"/>
    </row>
    <row r="191" spans="3:3" ht="12.5" x14ac:dyDescent="0.25">
      <c r="C191" s="3"/>
    </row>
    <row r="192" spans="3:3" ht="12.5" x14ac:dyDescent="0.25">
      <c r="C192" s="3"/>
    </row>
    <row r="193" spans="3:3" ht="12.5" x14ac:dyDescent="0.25">
      <c r="C193" s="3"/>
    </row>
    <row r="194" spans="3:3" ht="12.5" x14ac:dyDescent="0.25">
      <c r="C194" s="3"/>
    </row>
    <row r="195" spans="3:3" ht="12.5" x14ac:dyDescent="0.25">
      <c r="C195" s="3"/>
    </row>
    <row r="196" spans="3:3" ht="12.5" x14ac:dyDescent="0.25">
      <c r="C196" s="3"/>
    </row>
    <row r="197" spans="3:3" ht="12.5" x14ac:dyDescent="0.25">
      <c r="C197" s="3"/>
    </row>
    <row r="198" spans="3:3" ht="12.5" x14ac:dyDescent="0.25">
      <c r="C198" s="3"/>
    </row>
    <row r="199" spans="3:3" ht="12.5" x14ac:dyDescent="0.25">
      <c r="C199" s="3"/>
    </row>
    <row r="200" spans="3:3" ht="12.5" x14ac:dyDescent="0.25">
      <c r="C200" s="3"/>
    </row>
    <row r="201" spans="3:3" ht="12.5" x14ac:dyDescent="0.25">
      <c r="C201" s="3"/>
    </row>
    <row r="202" spans="3:3" ht="12.5" x14ac:dyDescent="0.25">
      <c r="C202" s="3"/>
    </row>
    <row r="203" spans="3:3" ht="12.5" x14ac:dyDescent="0.25">
      <c r="C203" s="3"/>
    </row>
    <row r="204" spans="3:3" ht="12.5" x14ac:dyDescent="0.25">
      <c r="C204" s="3"/>
    </row>
    <row r="205" spans="3:3" ht="12.5" x14ac:dyDescent="0.25">
      <c r="C205" s="3"/>
    </row>
    <row r="206" spans="3:3" ht="12.5" x14ac:dyDescent="0.25">
      <c r="C206" s="3"/>
    </row>
    <row r="207" spans="3:3" ht="12.5" x14ac:dyDescent="0.25">
      <c r="C207" s="3"/>
    </row>
    <row r="208" spans="3:3" ht="12.5" x14ac:dyDescent="0.25">
      <c r="C208" s="3"/>
    </row>
    <row r="209" spans="3:3" ht="12.5" x14ac:dyDescent="0.25">
      <c r="C209" s="3"/>
    </row>
    <row r="210" spans="3:3" ht="12.5" x14ac:dyDescent="0.25">
      <c r="C210" s="3"/>
    </row>
    <row r="211" spans="3:3" ht="12.5" x14ac:dyDescent="0.25">
      <c r="C211" s="3"/>
    </row>
    <row r="212" spans="3:3" ht="12.5" x14ac:dyDescent="0.25">
      <c r="C212" s="3"/>
    </row>
    <row r="213" spans="3:3" ht="12.5" x14ac:dyDescent="0.25">
      <c r="C213" s="3"/>
    </row>
    <row r="214" spans="3:3" ht="12.5" x14ac:dyDescent="0.25">
      <c r="C214" s="3"/>
    </row>
    <row r="215" spans="3:3" ht="12.5" x14ac:dyDescent="0.25">
      <c r="C215" s="3"/>
    </row>
    <row r="216" spans="3:3" ht="12.5" x14ac:dyDescent="0.25">
      <c r="C216" s="3"/>
    </row>
    <row r="217" spans="3:3" ht="12.5" x14ac:dyDescent="0.25">
      <c r="C217" s="3"/>
    </row>
    <row r="218" spans="3:3" ht="12.5" x14ac:dyDescent="0.25">
      <c r="C218" s="3"/>
    </row>
    <row r="219" spans="3:3" ht="12.5" x14ac:dyDescent="0.25">
      <c r="C219" s="3"/>
    </row>
    <row r="220" spans="3:3" ht="12.5" x14ac:dyDescent="0.25">
      <c r="C220" s="3"/>
    </row>
    <row r="221" spans="3:3" ht="12.5" x14ac:dyDescent="0.25">
      <c r="C221" s="3"/>
    </row>
    <row r="222" spans="3:3" ht="12.5" x14ac:dyDescent="0.25">
      <c r="C222" s="3"/>
    </row>
    <row r="223" spans="3:3" ht="12.5" x14ac:dyDescent="0.25">
      <c r="C223" s="3"/>
    </row>
    <row r="224" spans="3:3" ht="12.5" x14ac:dyDescent="0.25">
      <c r="C224" s="3"/>
    </row>
    <row r="225" spans="3:3" ht="12.5" x14ac:dyDescent="0.25">
      <c r="C225" s="3"/>
    </row>
    <row r="226" spans="3:3" ht="12.5" x14ac:dyDescent="0.25">
      <c r="C226" s="3"/>
    </row>
    <row r="227" spans="3:3" ht="12.5" x14ac:dyDescent="0.25">
      <c r="C227" s="3"/>
    </row>
    <row r="228" spans="3:3" ht="12.5" x14ac:dyDescent="0.25">
      <c r="C228" s="3"/>
    </row>
    <row r="229" spans="3:3" ht="12.5" x14ac:dyDescent="0.25">
      <c r="C229" s="3"/>
    </row>
    <row r="230" spans="3:3" ht="12.5" x14ac:dyDescent="0.25">
      <c r="C230" s="3"/>
    </row>
    <row r="231" spans="3:3" ht="12.5" x14ac:dyDescent="0.25">
      <c r="C231" s="3"/>
    </row>
    <row r="232" spans="3:3" ht="12.5" x14ac:dyDescent="0.25">
      <c r="C232" s="3"/>
    </row>
    <row r="233" spans="3:3" ht="12.5" x14ac:dyDescent="0.25">
      <c r="C233" s="3"/>
    </row>
    <row r="234" spans="3:3" ht="12.5" x14ac:dyDescent="0.25">
      <c r="C234" s="3"/>
    </row>
    <row r="235" spans="3:3" ht="12.5" x14ac:dyDescent="0.25">
      <c r="C235" s="3"/>
    </row>
    <row r="236" spans="3:3" ht="12.5" x14ac:dyDescent="0.25">
      <c r="C236" s="3"/>
    </row>
    <row r="237" spans="3:3" ht="12.5" x14ac:dyDescent="0.25">
      <c r="C237" s="3"/>
    </row>
    <row r="238" spans="3:3" ht="12.5" x14ac:dyDescent="0.25">
      <c r="C238" s="3"/>
    </row>
    <row r="239" spans="3:3" ht="12.5" x14ac:dyDescent="0.25">
      <c r="C239" s="3"/>
    </row>
    <row r="240" spans="3:3" ht="12.5" x14ac:dyDescent="0.25">
      <c r="C240" s="3"/>
    </row>
    <row r="241" spans="3:3" ht="12.5" x14ac:dyDescent="0.25">
      <c r="C241" s="3"/>
    </row>
    <row r="242" spans="3:3" ht="12.5" x14ac:dyDescent="0.25">
      <c r="C242" s="3"/>
    </row>
    <row r="243" spans="3:3" ht="12.5" x14ac:dyDescent="0.25">
      <c r="C243" s="3"/>
    </row>
    <row r="244" spans="3:3" ht="12.5" x14ac:dyDescent="0.25">
      <c r="C244" s="3"/>
    </row>
    <row r="245" spans="3:3" ht="12.5" x14ac:dyDescent="0.25">
      <c r="C245" s="3"/>
    </row>
    <row r="246" spans="3:3" ht="12.5" x14ac:dyDescent="0.25">
      <c r="C246" s="3"/>
    </row>
    <row r="247" spans="3:3" ht="12.5" x14ac:dyDescent="0.25">
      <c r="C247" s="3"/>
    </row>
    <row r="248" spans="3:3" ht="12.5" x14ac:dyDescent="0.25">
      <c r="C248" s="3"/>
    </row>
    <row r="249" spans="3:3" ht="12.5" x14ac:dyDescent="0.25">
      <c r="C249" s="3"/>
    </row>
    <row r="250" spans="3:3" ht="12.5" x14ac:dyDescent="0.25">
      <c r="C250" s="3"/>
    </row>
    <row r="251" spans="3:3" ht="12.5" x14ac:dyDescent="0.25">
      <c r="C251" s="3"/>
    </row>
    <row r="252" spans="3:3" ht="12.5" x14ac:dyDescent="0.25">
      <c r="C252" s="3"/>
    </row>
    <row r="253" spans="3:3" ht="12.5" x14ac:dyDescent="0.25">
      <c r="C253" s="3"/>
    </row>
    <row r="254" spans="3:3" ht="12.5" x14ac:dyDescent="0.25">
      <c r="C254" s="3"/>
    </row>
    <row r="255" spans="3:3" ht="12.5" x14ac:dyDescent="0.25">
      <c r="C255" s="3"/>
    </row>
    <row r="256" spans="3:3" ht="12.5" x14ac:dyDescent="0.25">
      <c r="C256" s="3"/>
    </row>
    <row r="257" spans="3:3" ht="12.5" x14ac:dyDescent="0.25">
      <c r="C257" s="3"/>
    </row>
    <row r="258" spans="3:3" ht="12.5" x14ac:dyDescent="0.25">
      <c r="C258" s="3"/>
    </row>
    <row r="259" spans="3:3" ht="12.5" x14ac:dyDescent="0.25">
      <c r="C259" s="3"/>
    </row>
    <row r="260" spans="3:3" ht="12.5" x14ac:dyDescent="0.25">
      <c r="C260" s="3"/>
    </row>
    <row r="261" spans="3:3" ht="12.5" x14ac:dyDescent="0.25">
      <c r="C261" s="3"/>
    </row>
    <row r="262" spans="3:3" ht="12.5" x14ac:dyDescent="0.25">
      <c r="C262" s="3"/>
    </row>
    <row r="263" spans="3:3" ht="12.5" x14ac:dyDescent="0.25">
      <c r="C263" s="3"/>
    </row>
    <row r="264" spans="3:3" ht="12.5" x14ac:dyDescent="0.25">
      <c r="C264" s="3"/>
    </row>
    <row r="265" spans="3:3" ht="12.5" x14ac:dyDescent="0.25">
      <c r="C265" s="3"/>
    </row>
    <row r="266" spans="3:3" ht="12.5" x14ac:dyDescent="0.25">
      <c r="C266" s="3"/>
    </row>
    <row r="267" spans="3:3" ht="12.5" x14ac:dyDescent="0.25">
      <c r="C267" s="3"/>
    </row>
    <row r="268" spans="3:3" ht="12.5" x14ac:dyDescent="0.25">
      <c r="C268" s="3"/>
    </row>
    <row r="269" spans="3:3" ht="12.5" x14ac:dyDescent="0.25">
      <c r="C269" s="3"/>
    </row>
    <row r="270" spans="3:3" ht="12.5" x14ac:dyDescent="0.25">
      <c r="C270" s="3"/>
    </row>
    <row r="271" spans="3:3" ht="12.5" x14ac:dyDescent="0.25">
      <c r="C271" s="3"/>
    </row>
    <row r="272" spans="3:3" ht="12.5" x14ac:dyDescent="0.25">
      <c r="C272" s="3"/>
    </row>
    <row r="273" spans="3:3" ht="12.5" x14ac:dyDescent="0.25">
      <c r="C273" s="3"/>
    </row>
    <row r="274" spans="3:3" ht="12.5" x14ac:dyDescent="0.25">
      <c r="C274" s="3"/>
    </row>
    <row r="275" spans="3:3" ht="12.5" x14ac:dyDescent="0.25">
      <c r="C275" s="3"/>
    </row>
    <row r="276" spans="3:3" ht="12.5" x14ac:dyDescent="0.25">
      <c r="C276" s="3"/>
    </row>
    <row r="277" spans="3:3" ht="12.5" x14ac:dyDescent="0.25">
      <c r="C277" s="3"/>
    </row>
    <row r="278" spans="3:3" ht="12.5" x14ac:dyDescent="0.25">
      <c r="C278" s="3"/>
    </row>
    <row r="279" spans="3:3" ht="12.5" x14ac:dyDescent="0.25">
      <c r="C279" s="3"/>
    </row>
    <row r="280" spans="3:3" ht="12.5" x14ac:dyDescent="0.25">
      <c r="C280" s="3"/>
    </row>
    <row r="281" spans="3:3" ht="12.5" x14ac:dyDescent="0.25">
      <c r="C281" s="3"/>
    </row>
    <row r="282" spans="3:3" ht="12.5" x14ac:dyDescent="0.25">
      <c r="C282" s="3"/>
    </row>
    <row r="283" spans="3:3" ht="12.5" x14ac:dyDescent="0.25">
      <c r="C283" s="3"/>
    </row>
    <row r="284" spans="3:3" ht="12.5" x14ac:dyDescent="0.25">
      <c r="C284" s="3"/>
    </row>
    <row r="285" spans="3:3" ht="12.5" x14ac:dyDescent="0.25">
      <c r="C285" s="3"/>
    </row>
    <row r="286" spans="3:3" ht="12.5" x14ac:dyDescent="0.25">
      <c r="C286" s="3"/>
    </row>
    <row r="287" spans="3:3" ht="12.5" x14ac:dyDescent="0.25">
      <c r="C287" s="3"/>
    </row>
    <row r="288" spans="3:3" ht="12.5" x14ac:dyDescent="0.25">
      <c r="C288" s="3"/>
    </row>
    <row r="289" spans="3:3" ht="12.5" x14ac:dyDescent="0.25">
      <c r="C289" s="3"/>
    </row>
    <row r="290" spans="3:3" ht="12.5" x14ac:dyDescent="0.25">
      <c r="C290" s="3"/>
    </row>
    <row r="291" spans="3:3" ht="12.5" x14ac:dyDescent="0.25">
      <c r="C291" s="3"/>
    </row>
    <row r="292" spans="3:3" ht="12.5" x14ac:dyDescent="0.25">
      <c r="C292" s="3"/>
    </row>
    <row r="293" spans="3:3" ht="12.5" x14ac:dyDescent="0.25">
      <c r="C293" s="3"/>
    </row>
    <row r="294" spans="3:3" ht="12.5" x14ac:dyDescent="0.25">
      <c r="C294" s="3"/>
    </row>
    <row r="295" spans="3:3" ht="12.5" x14ac:dyDescent="0.25">
      <c r="C295" s="3"/>
    </row>
    <row r="296" spans="3:3" ht="12.5" x14ac:dyDescent="0.25">
      <c r="C296" s="3"/>
    </row>
    <row r="297" spans="3:3" ht="12.5" x14ac:dyDescent="0.25">
      <c r="C297" s="3"/>
    </row>
    <row r="298" spans="3:3" ht="12.5" x14ac:dyDescent="0.25">
      <c r="C298" s="3"/>
    </row>
    <row r="299" spans="3:3" ht="12.5" x14ac:dyDescent="0.25">
      <c r="C299" s="3"/>
    </row>
    <row r="300" spans="3:3" ht="12.5" x14ac:dyDescent="0.25">
      <c r="C300" s="3"/>
    </row>
    <row r="301" spans="3:3" ht="12.5" x14ac:dyDescent="0.25">
      <c r="C301" s="3"/>
    </row>
    <row r="302" spans="3:3" ht="12.5" x14ac:dyDescent="0.25">
      <c r="C302" s="3"/>
    </row>
    <row r="303" spans="3:3" ht="12.5" x14ac:dyDescent="0.25">
      <c r="C303" s="3"/>
    </row>
    <row r="304" spans="3:3" ht="12.5" x14ac:dyDescent="0.25">
      <c r="C304" s="3"/>
    </row>
    <row r="305" spans="3:3" ht="12.5" x14ac:dyDescent="0.25">
      <c r="C305" s="3"/>
    </row>
    <row r="306" spans="3:3" ht="12.5" x14ac:dyDescent="0.25">
      <c r="C306" s="3"/>
    </row>
    <row r="307" spans="3:3" ht="12.5" x14ac:dyDescent="0.25">
      <c r="C307" s="3"/>
    </row>
    <row r="308" spans="3:3" ht="12.5" x14ac:dyDescent="0.25">
      <c r="C308" s="3"/>
    </row>
    <row r="309" spans="3:3" ht="12.5" x14ac:dyDescent="0.25">
      <c r="C309" s="3"/>
    </row>
    <row r="310" spans="3:3" ht="12.5" x14ac:dyDescent="0.25">
      <c r="C310" s="3"/>
    </row>
    <row r="311" spans="3:3" ht="12.5" x14ac:dyDescent="0.25">
      <c r="C311" s="3"/>
    </row>
    <row r="312" spans="3:3" ht="12.5" x14ac:dyDescent="0.25">
      <c r="C312" s="3"/>
    </row>
    <row r="313" spans="3:3" ht="12.5" x14ac:dyDescent="0.25">
      <c r="C313" s="3"/>
    </row>
    <row r="314" spans="3:3" ht="12.5" x14ac:dyDescent="0.25">
      <c r="C314" s="3"/>
    </row>
    <row r="315" spans="3:3" ht="12.5" x14ac:dyDescent="0.25">
      <c r="C315" s="3"/>
    </row>
    <row r="316" spans="3:3" ht="12.5" x14ac:dyDescent="0.25">
      <c r="C316" s="3"/>
    </row>
    <row r="317" spans="3:3" ht="12.5" x14ac:dyDescent="0.25">
      <c r="C317" s="3"/>
    </row>
    <row r="318" spans="3:3" ht="12.5" x14ac:dyDescent="0.25">
      <c r="C318" s="3"/>
    </row>
    <row r="319" spans="3:3" ht="12.5" x14ac:dyDescent="0.25">
      <c r="C319" s="3"/>
    </row>
    <row r="320" spans="3:3" ht="12.5" x14ac:dyDescent="0.25">
      <c r="C320" s="3"/>
    </row>
    <row r="321" spans="3:3" ht="12.5" x14ac:dyDescent="0.25">
      <c r="C321" s="3"/>
    </row>
    <row r="322" spans="3:3" ht="12.5" x14ac:dyDescent="0.25">
      <c r="C322" s="3"/>
    </row>
    <row r="323" spans="3:3" ht="12.5" x14ac:dyDescent="0.25">
      <c r="C323" s="3"/>
    </row>
    <row r="324" spans="3:3" ht="12.5" x14ac:dyDescent="0.25">
      <c r="C324" s="3"/>
    </row>
    <row r="325" spans="3:3" ht="12.5" x14ac:dyDescent="0.25">
      <c r="C325" s="3"/>
    </row>
    <row r="326" spans="3:3" ht="12.5" x14ac:dyDescent="0.25">
      <c r="C326" s="3"/>
    </row>
    <row r="327" spans="3:3" ht="12.5" x14ac:dyDescent="0.25">
      <c r="C327" s="3"/>
    </row>
    <row r="328" spans="3:3" ht="12.5" x14ac:dyDescent="0.25">
      <c r="C328" s="3"/>
    </row>
    <row r="329" spans="3:3" ht="12.5" x14ac:dyDescent="0.25">
      <c r="C329" s="3"/>
    </row>
    <row r="330" spans="3:3" ht="12.5" x14ac:dyDescent="0.25">
      <c r="C330" s="3"/>
    </row>
    <row r="331" spans="3:3" ht="12.5" x14ac:dyDescent="0.25">
      <c r="C331" s="3"/>
    </row>
    <row r="332" spans="3:3" ht="12.5" x14ac:dyDescent="0.25">
      <c r="C332" s="3"/>
    </row>
    <row r="333" spans="3:3" ht="12.5" x14ac:dyDescent="0.25">
      <c r="C333" s="3"/>
    </row>
    <row r="334" spans="3:3" ht="12.5" x14ac:dyDescent="0.25">
      <c r="C334" s="3"/>
    </row>
    <row r="335" spans="3:3" ht="12.5" x14ac:dyDescent="0.25">
      <c r="C335" s="3"/>
    </row>
    <row r="336" spans="3:3" ht="12.5" x14ac:dyDescent="0.25">
      <c r="C336" s="3"/>
    </row>
    <row r="337" spans="3:3" ht="12.5" x14ac:dyDescent="0.25">
      <c r="C337" s="3"/>
    </row>
    <row r="338" spans="3:3" ht="12.5" x14ac:dyDescent="0.25">
      <c r="C338" s="3"/>
    </row>
    <row r="339" spans="3:3" ht="12.5" x14ac:dyDescent="0.25">
      <c r="C339" s="3"/>
    </row>
    <row r="340" spans="3:3" ht="12.5" x14ac:dyDescent="0.25">
      <c r="C340" s="3"/>
    </row>
    <row r="341" spans="3:3" ht="12.5" x14ac:dyDescent="0.25">
      <c r="C341" s="3"/>
    </row>
    <row r="342" spans="3:3" ht="12.5" x14ac:dyDescent="0.25">
      <c r="C342" s="3"/>
    </row>
    <row r="343" spans="3:3" ht="12.5" x14ac:dyDescent="0.25">
      <c r="C343" s="3"/>
    </row>
    <row r="344" spans="3:3" ht="12.5" x14ac:dyDescent="0.25">
      <c r="C344" s="3"/>
    </row>
    <row r="345" spans="3:3" ht="12.5" x14ac:dyDescent="0.25">
      <c r="C345" s="3"/>
    </row>
    <row r="346" spans="3:3" ht="12.5" x14ac:dyDescent="0.25">
      <c r="C346" s="3"/>
    </row>
    <row r="347" spans="3:3" ht="12.5" x14ac:dyDescent="0.25">
      <c r="C347" s="3"/>
    </row>
    <row r="348" spans="3:3" ht="12.5" x14ac:dyDescent="0.25">
      <c r="C348" s="3"/>
    </row>
    <row r="349" spans="3:3" ht="12.5" x14ac:dyDescent="0.25">
      <c r="C349" s="3"/>
    </row>
    <row r="350" spans="3:3" ht="12.5" x14ac:dyDescent="0.25">
      <c r="C350" s="3"/>
    </row>
    <row r="351" spans="3:3" ht="12.5" x14ac:dyDescent="0.25">
      <c r="C351" s="3"/>
    </row>
    <row r="352" spans="3:3" ht="12.5" x14ac:dyDescent="0.25">
      <c r="C352" s="3"/>
    </row>
    <row r="353" spans="3:3" ht="12.5" x14ac:dyDescent="0.25">
      <c r="C353" s="3"/>
    </row>
    <row r="354" spans="3:3" ht="12.5" x14ac:dyDescent="0.25">
      <c r="C354" s="3"/>
    </row>
    <row r="355" spans="3:3" ht="12.5" x14ac:dyDescent="0.25">
      <c r="C355" s="3"/>
    </row>
    <row r="356" spans="3:3" ht="12.5" x14ac:dyDescent="0.25">
      <c r="C356" s="3"/>
    </row>
    <row r="357" spans="3:3" ht="12.5" x14ac:dyDescent="0.25">
      <c r="C357" s="3"/>
    </row>
    <row r="358" spans="3:3" ht="12.5" x14ac:dyDescent="0.25">
      <c r="C358" s="3"/>
    </row>
    <row r="359" spans="3:3" ht="12.5" x14ac:dyDescent="0.25">
      <c r="C359" s="3"/>
    </row>
    <row r="360" spans="3:3" ht="12.5" x14ac:dyDescent="0.25">
      <c r="C360" s="3"/>
    </row>
    <row r="361" spans="3:3" ht="12.5" x14ac:dyDescent="0.25">
      <c r="C361" s="3"/>
    </row>
    <row r="362" spans="3:3" ht="12.5" x14ac:dyDescent="0.25">
      <c r="C362" s="3"/>
    </row>
    <row r="363" spans="3:3" ht="12.5" x14ac:dyDescent="0.25">
      <c r="C363" s="3"/>
    </row>
    <row r="364" spans="3:3" ht="12.5" x14ac:dyDescent="0.25">
      <c r="C364" s="3"/>
    </row>
    <row r="365" spans="3:3" ht="12.5" x14ac:dyDescent="0.25">
      <c r="C365" s="3"/>
    </row>
    <row r="366" spans="3:3" ht="12.5" x14ac:dyDescent="0.25">
      <c r="C366" s="3"/>
    </row>
    <row r="367" spans="3:3" ht="12.5" x14ac:dyDescent="0.25">
      <c r="C367" s="3"/>
    </row>
    <row r="368" spans="3:3" ht="12.5" x14ac:dyDescent="0.25">
      <c r="C368" s="3"/>
    </row>
    <row r="369" spans="3:3" ht="12.5" x14ac:dyDescent="0.25">
      <c r="C369" s="3"/>
    </row>
    <row r="370" spans="3:3" ht="12.5" x14ac:dyDescent="0.25">
      <c r="C370" s="3"/>
    </row>
    <row r="371" spans="3:3" ht="12.5" x14ac:dyDescent="0.25">
      <c r="C371" s="3"/>
    </row>
    <row r="372" spans="3:3" ht="12.5" x14ac:dyDescent="0.25">
      <c r="C372" s="3"/>
    </row>
    <row r="373" spans="3:3" ht="12.5" x14ac:dyDescent="0.25">
      <c r="C373" s="3"/>
    </row>
    <row r="374" spans="3:3" ht="12.5" x14ac:dyDescent="0.25">
      <c r="C374" s="3"/>
    </row>
    <row r="375" spans="3:3" ht="12.5" x14ac:dyDescent="0.25">
      <c r="C375" s="3"/>
    </row>
    <row r="376" spans="3:3" ht="12.5" x14ac:dyDescent="0.25">
      <c r="C376" s="3"/>
    </row>
    <row r="377" spans="3:3" ht="12.5" x14ac:dyDescent="0.25">
      <c r="C377" s="3"/>
    </row>
    <row r="378" spans="3:3" ht="12.5" x14ac:dyDescent="0.25">
      <c r="C378" s="3"/>
    </row>
    <row r="379" spans="3:3" ht="12.5" x14ac:dyDescent="0.25">
      <c r="C379" s="3"/>
    </row>
    <row r="380" spans="3:3" ht="12.5" x14ac:dyDescent="0.25">
      <c r="C380" s="3"/>
    </row>
    <row r="381" spans="3:3" ht="12.5" x14ac:dyDescent="0.25">
      <c r="C381" s="3"/>
    </row>
    <row r="382" spans="3:3" ht="12.5" x14ac:dyDescent="0.25">
      <c r="C382" s="3"/>
    </row>
    <row r="383" spans="3:3" ht="12.5" x14ac:dyDescent="0.25">
      <c r="C383" s="3"/>
    </row>
    <row r="384" spans="3:3" ht="12.5" x14ac:dyDescent="0.25">
      <c r="C384" s="3"/>
    </row>
    <row r="385" spans="3:3" ht="12.5" x14ac:dyDescent="0.25">
      <c r="C385" s="3"/>
    </row>
    <row r="386" spans="3:3" ht="12.5" x14ac:dyDescent="0.25">
      <c r="C386" s="3"/>
    </row>
    <row r="387" spans="3:3" ht="12.5" x14ac:dyDescent="0.25">
      <c r="C387" s="3"/>
    </row>
    <row r="388" spans="3:3" ht="12.5" x14ac:dyDescent="0.25">
      <c r="C388" s="3"/>
    </row>
    <row r="389" spans="3:3" ht="12.5" x14ac:dyDescent="0.25">
      <c r="C389" s="3"/>
    </row>
    <row r="390" spans="3:3" ht="12.5" x14ac:dyDescent="0.25">
      <c r="C390" s="3"/>
    </row>
    <row r="391" spans="3:3" ht="12.5" x14ac:dyDescent="0.25">
      <c r="C391" s="3"/>
    </row>
    <row r="392" spans="3:3" ht="12.5" x14ac:dyDescent="0.25">
      <c r="C392" s="3"/>
    </row>
    <row r="393" spans="3:3" ht="12.5" x14ac:dyDescent="0.25">
      <c r="C393" s="3"/>
    </row>
    <row r="394" spans="3:3" ht="12.5" x14ac:dyDescent="0.25">
      <c r="C394" s="3"/>
    </row>
    <row r="395" spans="3:3" ht="12.5" x14ac:dyDescent="0.25">
      <c r="C395" s="3"/>
    </row>
    <row r="396" spans="3:3" ht="12.5" x14ac:dyDescent="0.25">
      <c r="C396" s="3"/>
    </row>
    <row r="397" spans="3:3" ht="12.5" x14ac:dyDescent="0.25">
      <c r="C397" s="3"/>
    </row>
    <row r="398" spans="3:3" ht="12.5" x14ac:dyDescent="0.25">
      <c r="C398" s="3"/>
    </row>
    <row r="399" spans="3:3" ht="12.5" x14ac:dyDescent="0.25">
      <c r="C399" s="3"/>
    </row>
    <row r="400" spans="3:3" ht="12.5" x14ac:dyDescent="0.25">
      <c r="C400" s="3"/>
    </row>
    <row r="401" spans="3:3" ht="12.5" x14ac:dyDescent="0.25">
      <c r="C401" s="3"/>
    </row>
    <row r="402" spans="3:3" ht="12.5" x14ac:dyDescent="0.25">
      <c r="C402" s="3"/>
    </row>
    <row r="403" spans="3:3" ht="12.5" x14ac:dyDescent="0.25">
      <c r="C403" s="3"/>
    </row>
    <row r="404" spans="3:3" ht="12.5" x14ac:dyDescent="0.25">
      <c r="C404" s="3"/>
    </row>
    <row r="405" spans="3:3" ht="12.5" x14ac:dyDescent="0.25">
      <c r="C405" s="3"/>
    </row>
    <row r="406" spans="3:3" ht="12.5" x14ac:dyDescent="0.25">
      <c r="C406" s="3"/>
    </row>
    <row r="407" spans="3:3" ht="12.5" x14ac:dyDescent="0.25">
      <c r="C407" s="3"/>
    </row>
    <row r="408" spans="3:3" ht="12.5" x14ac:dyDescent="0.25">
      <c r="C408" s="3"/>
    </row>
    <row r="409" spans="3:3" ht="12.5" x14ac:dyDescent="0.25">
      <c r="C409" s="3"/>
    </row>
    <row r="410" spans="3:3" ht="12.5" x14ac:dyDescent="0.25">
      <c r="C410" s="3"/>
    </row>
    <row r="411" spans="3:3" ht="12.5" x14ac:dyDescent="0.25">
      <c r="C411" s="3"/>
    </row>
    <row r="412" spans="3:3" ht="12.5" x14ac:dyDescent="0.25">
      <c r="C412" s="3"/>
    </row>
    <row r="413" spans="3:3" ht="12.5" x14ac:dyDescent="0.25">
      <c r="C413" s="3"/>
    </row>
    <row r="414" spans="3:3" ht="12.5" x14ac:dyDescent="0.25">
      <c r="C414" s="3"/>
    </row>
    <row r="415" spans="3:3" ht="12.5" x14ac:dyDescent="0.25">
      <c r="C415" s="3"/>
    </row>
    <row r="416" spans="3:3" ht="12.5" x14ac:dyDescent="0.25">
      <c r="C416" s="3"/>
    </row>
    <row r="417" spans="3:3" ht="12.5" x14ac:dyDescent="0.25">
      <c r="C417" s="3"/>
    </row>
    <row r="418" spans="3:3" ht="12.5" x14ac:dyDescent="0.25">
      <c r="C418" s="3"/>
    </row>
    <row r="419" spans="3:3" ht="12.5" x14ac:dyDescent="0.25">
      <c r="C419" s="3"/>
    </row>
    <row r="420" spans="3:3" ht="12.5" x14ac:dyDescent="0.25">
      <c r="C420" s="3"/>
    </row>
    <row r="421" spans="3:3" ht="12.5" x14ac:dyDescent="0.25">
      <c r="C421" s="3"/>
    </row>
    <row r="422" spans="3:3" ht="12.5" x14ac:dyDescent="0.25">
      <c r="C422" s="3"/>
    </row>
    <row r="423" spans="3:3" ht="12.5" x14ac:dyDescent="0.25">
      <c r="C423" s="3"/>
    </row>
    <row r="424" spans="3:3" ht="12.5" x14ac:dyDescent="0.25">
      <c r="C424" s="3"/>
    </row>
    <row r="425" spans="3:3" ht="12.5" x14ac:dyDescent="0.25">
      <c r="C425" s="3"/>
    </row>
    <row r="426" spans="3:3" ht="12.5" x14ac:dyDescent="0.25">
      <c r="C426" s="3"/>
    </row>
    <row r="427" spans="3:3" ht="12.5" x14ac:dyDescent="0.25">
      <c r="C427" s="3"/>
    </row>
    <row r="428" spans="3:3" ht="12.5" x14ac:dyDescent="0.25">
      <c r="C428" s="3"/>
    </row>
    <row r="429" spans="3:3" ht="12.5" x14ac:dyDescent="0.25">
      <c r="C429" s="3"/>
    </row>
    <row r="430" spans="3:3" ht="12.5" x14ac:dyDescent="0.25">
      <c r="C430" s="3"/>
    </row>
    <row r="431" spans="3:3" ht="12.5" x14ac:dyDescent="0.25">
      <c r="C431" s="3"/>
    </row>
    <row r="432" spans="3:3" ht="12.5" x14ac:dyDescent="0.25">
      <c r="C432" s="3"/>
    </row>
    <row r="433" spans="3:3" ht="12.5" x14ac:dyDescent="0.25">
      <c r="C433" s="3"/>
    </row>
    <row r="434" spans="3:3" ht="12.5" x14ac:dyDescent="0.25">
      <c r="C434" s="3"/>
    </row>
    <row r="435" spans="3:3" ht="12.5" x14ac:dyDescent="0.25">
      <c r="C435" s="3"/>
    </row>
    <row r="436" spans="3:3" ht="12.5" x14ac:dyDescent="0.25">
      <c r="C436" s="3"/>
    </row>
    <row r="437" spans="3:3" ht="12.5" x14ac:dyDescent="0.25">
      <c r="C437" s="3"/>
    </row>
    <row r="438" spans="3:3" ht="12.5" x14ac:dyDescent="0.25">
      <c r="C438" s="3"/>
    </row>
    <row r="439" spans="3:3" ht="12.5" x14ac:dyDescent="0.25">
      <c r="C439" s="3"/>
    </row>
    <row r="440" spans="3:3" ht="12.5" x14ac:dyDescent="0.25">
      <c r="C440" s="3"/>
    </row>
    <row r="441" spans="3:3" ht="12.5" x14ac:dyDescent="0.25">
      <c r="C441" s="3"/>
    </row>
    <row r="442" spans="3:3" ht="12.5" x14ac:dyDescent="0.25">
      <c r="C442" s="3"/>
    </row>
    <row r="443" spans="3:3" ht="12.5" x14ac:dyDescent="0.25">
      <c r="C443" s="3"/>
    </row>
    <row r="444" spans="3:3" ht="12.5" x14ac:dyDescent="0.25">
      <c r="C444" s="3"/>
    </row>
    <row r="445" spans="3:3" ht="12.5" x14ac:dyDescent="0.25">
      <c r="C445" s="3"/>
    </row>
    <row r="446" spans="3:3" ht="12.5" x14ac:dyDescent="0.25">
      <c r="C446" s="3"/>
    </row>
    <row r="447" spans="3:3" ht="12.5" x14ac:dyDescent="0.25">
      <c r="C447" s="3"/>
    </row>
    <row r="448" spans="3:3" ht="12.5" x14ac:dyDescent="0.25">
      <c r="C448" s="3"/>
    </row>
    <row r="449" spans="3:3" ht="12.5" x14ac:dyDescent="0.25">
      <c r="C449" s="3"/>
    </row>
    <row r="450" spans="3:3" ht="12.5" x14ac:dyDescent="0.25">
      <c r="C450" s="3"/>
    </row>
    <row r="451" spans="3:3" ht="12.5" x14ac:dyDescent="0.25">
      <c r="C451" s="3"/>
    </row>
    <row r="452" spans="3:3" ht="12.5" x14ac:dyDescent="0.25">
      <c r="C452" s="3"/>
    </row>
    <row r="453" spans="3:3" ht="12.5" x14ac:dyDescent="0.25">
      <c r="C453" s="3"/>
    </row>
    <row r="454" spans="3:3" ht="12.5" x14ac:dyDescent="0.25">
      <c r="C454" s="3"/>
    </row>
    <row r="455" spans="3:3" ht="12.5" x14ac:dyDescent="0.25">
      <c r="C455" s="3"/>
    </row>
    <row r="456" spans="3:3" ht="12.5" x14ac:dyDescent="0.25">
      <c r="C456" s="3"/>
    </row>
    <row r="457" spans="3:3" ht="12.5" x14ac:dyDescent="0.25">
      <c r="C457" s="3"/>
    </row>
    <row r="458" spans="3:3" ht="12.5" x14ac:dyDescent="0.25">
      <c r="C458" s="3"/>
    </row>
    <row r="459" spans="3:3" ht="12.5" x14ac:dyDescent="0.25">
      <c r="C459" s="3"/>
    </row>
    <row r="460" spans="3:3" ht="12.5" x14ac:dyDescent="0.25">
      <c r="C460" s="3"/>
    </row>
    <row r="461" spans="3:3" ht="12.5" x14ac:dyDescent="0.25">
      <c r="C461" s="3"/>
    </row>
    <row r="462" spans="3:3" ht="12.5" x14ac:dyDescent="0.25">
      <c r="C462" s="3"/>
    </row>
    <row r="463" spans="3:3" ht="12.5" x14ac:dyDescent="0.25">
      <c r="C463" s="3"/>
    </row>
    <row r="464" spans="3:3" ht="12.5" x14ac:dyDescent="0.25">
      <c r="C464" s="3"/>
    </row>
    <row r="465" spans="3:3" ht="12.5" x14ac:dyDescent="0.25">
      <c r="C465" s="3"/>
    </row>
    <row r="466" spans="3:3" ht="12.5" x14ac:dyDescent="0.25">
      <c r="C466" s="3"/>
    </row>
    <row r="467" spans="3:3" ht="12.5" x14ac:dyDescent="0.25">
      <c r="C467" s="3"/>
    </row>
    <row r="468" spans="3:3" ht="12.5" x14ac:dyDescent="0.25">
      <c r="C468" s="3"/>
    </row>
    <row r="469" spans="3:3" ht="12.5" x14ac:dyDescent="0.25">
      <c r="C469" s="3"/>
    </row>
    <row r="470" spans="3:3" ht="12.5" x14ac:dyDescent="0.25">
      <c r="C470" s="3"/>
    </row>
    <row r="471" spans="3:3" ht="12.5" x14ac:dyDescent="0.25">
      <c r="C471" s="3"/>
    </row>
    <row r="472" spans="3:3" ht="12.5" x14ac:dyDescent="0.25">
      <c r="C472" s="3"/>
    </row>
    <row r="473" spans="3:3" ht="12.5" x14ac:dyDescent="0.25">
      <c r="C473" s="3"/>
    </row>
    <row r="474" spans="3:3" ht="12.5" x14ac:dyDescent="0.25">
      <c r="C474" s="3"/>
    </row>
    <row r="475" spans="3:3" ht="12.5" x14ac:dyDescent="0.25">
      <c r="C475" s="3"/>
    </row>
    <row r="476" spans="3:3" ht="12.5" x14ac:dyDescent="0.25">
      <c r="C476" s="3"/>
    </row>
    <row r="477" spans="3:3" ht="12.5" x14ac:dyDescent="0.25">
      <c r="C477" s="3"/>
    </row>
    <row r="478" spans="3:3" ht="12.5" x14ac:dyDescent="0.25">
      <c r="C478" s="3"/>
    </row>
    <row r="479" spans="3:3" ht="12.5" x14ac:dyDescent="0.25">
      <c r="C479" s="3"/>
    </row>
    <row r="480" spans="3:3" ht="12.5" x14ac:dyDescent="0.25">
      <c r="C480" s="3"/>
    </row>
    <row r="481" spans="3:3" ht="12.5" x14ac:dyDescent="0.25">
      <c r="C481" s="3"/>
    </row>
    <row r="482" spans="3:3" ht="12.5" x14ac:dyDescent="0.25">
      <c r="C482" s="3"/>
    </row>
    <row r="483" spans="3:3" ht="12.5" x14ac:dyDescent="0.25">
      <c r="C483" s="3"/>
    </row>
    <row r="484" spans="3:3" ht="12.5" x14ac:dyDescent="0.25">
      <c r="C484" s="3"/>
    </row>
    <row r="485" spans="3:3" ht="12.5" x14ac:dyDescent="0.25">
      <c r="C485" s="3"/>
    </row>
    <row r="486" spans="3:3" ht="12.5" x14ac:dyDescent="0.25">
      <c r="C486" s="3"/>
    </row>
    <row r="487" spans="3:3" ht="12.5" x14ac:dyDescent="0.25">
      <c r="C487" s="3"/>
    </row>
    <row r="488" spans="3:3" ht="12.5" x14ac:dyDescent="0.25">
      <c r="C488" s="3"/>
    </row>
    <row r="489" spans="3:3" ht="12.5" x14ac:dyDescent="0.25">
      <c r="C489" s="3"/>
    </row>
    <row r="490" spans="3:3" ht="12.5" x14ac:dyDescent="0.25">
      <c r="C490" s="3"/>
    </row>
    <row r="491" spans="3:3" ht="12.5" x14ac:dyDescent="0.25">
      <c r="C491" s="3"/>
    </row>
    <row r="492" spans="3:3" ht="12.5" x14ac:dyDescent="0.25">
      <c r="C492" s="3"/>
    </row>
    <row r="493" spans="3:3" ht="12.5" x14ac:dyDescent="0.25">
      <c r="C493" s="3"/>
    </row>
    <row r="494" spans="3:3" ht="12.5" x14ac:dyDescent="0.25">
      <c r="C494" s="3"/>
    </row>
    <row r="495" spans="3:3" ht="12.5" x14ac:dyDescent="0.25">
      <c r="C495" s="3"/>
    </row>
    <row r="496" spans="3:3" ht="12.5" x14ac:dyDescent="0.25">
      <c r="C496" s="3"/>
    </row>
    <row r="497" spans="3:3" ht="12.5" x14ac:dyDescent="0.25">
      <c r="C497" s="3"/>
    </row>
    <row r="498" spans="3:3" ht="12.5" x14ac:dyDescent="0.25">
      <c r="C498" s="3"/>
    </row>
    <row r="499" spans="3:3" ht="12.5" x14ac:dyDescent="0.25">
      <c r="C499" s="3"/>
    </row>
    <row r="500" spans="3:3" ht="12.5" x14ac:dyDescent="0.25">
      <c r="C500" s="3"/>
    </row>
    <row r="501" spans="3:3" ht="12.5" x14ac:dyDescent="0.25">
      <c r="C501" s="3"/>
    </row>
    <row r="502" spans="3:3" ht="12.5" x14ac:dyDescent="0.25">
      <c r="C502" s="3"/>
    </row>
    <row r="503" spans="3:3" ht="12.5" x14ac:dyDescent="0.25">
      <c r="C503" s="3"/>
    </row>
    <row r="504" spans="3:3" ht="12.5" x14ac:dyDescent="0.25">
      <c r="C504" s="3"/>
    </row>
    <row r="505" spans="3:3" ht="12.5" x14ac:dyDescent="0.25">
      <c r="C505" s="3"/>
    </row>
    <row r="506" spans="3:3" ht="12.5" x14ac:dyDescent="0.25">
      <c r="C506" s="3"/>
    </row>
    <row r="507" spans="3:3" ht="12.5" x14ac:dyDescent="0.25">
      <c r="C507" s="3"/>
    </row>
    <row r="508" spans="3:3" ht="12.5" x14ac:dyDescent="0.25">
      <c r="C508" s="3"/>
    </row>
    <row r="509" spans="3:3" ht="12.5" x14ac:dyDescent="0.25">
      <c r="C509" s="3"/>
    </row>
    <row r="510" spans="3:3" ht="12.5" x14ac:dyDescent="0.25">
      <c r="C510" s="3"/>
    </row>
    <row r="511" spans="3:3" ht="12.5" x14ac:dyDescent="0.25">
      <c r="C511" s="3"/>
    </row>
    <row r="512" spans="3:3" ht="12.5" x14ac:dyDescent="0.25">
      <c r="C512" s="3"/>
    </row>
    <row r="513" spans="3:3" ht="12.5" x14ac:dyDescent="0.25">
      <c r="C513" s="3"/>
    </row>
    <row r="514" spans="3:3" ht="12.5" x14ac:dyDescent="0.25">
      <c r="C514" s="3"/>
    </row>
    <row r="515" spans="3:3" ht="12.5" x14ac:dyDescent="0.25">
      <c r="C515" s="3"/>
    </row>
    <row r="516" spans="3:3" ht="12.5" x14ac:dyDescent="0.25">
      <c r="C516" s="3"/>
    </row>
    <row r="517" spans="3:3" ht="12.5" x14ac:dyDescent="0.25">
      <c r="C517" s="3"/>
    </row>
    <row r="518" spans="3:3" ht="12.5" x14ac:dyDescent="0.25">
      <c r="C518" s="3"/>
    </row>
    <row r="519" spans="3:3" ht="12.5" x14ac:dyDescent="0.25">
      <c r="C519" s="3"/>
    </row>
    <row r="520" spans="3:3" ht="12.5" x14ac:dyDescent="0.25">
      <c r="C520" s="3"/>
    </row>
    <row r="521" spans="3:3" ht="12.5" x14ac:dyDescent="0.25">
      <c r="C521" s="3"/>
    </row>
    <row r="522" spans="3:3" ht="12.5" x14ac:dyDescent="0.25">
      <c r="C522" s="3"/>
    </row>
    <row r="523" spans="3:3" ht="12.5" x14ac:dyDescent="0.25">
      <c r="C523" s="3"/>
    </row>
    <row r="524" spans="3:3" ht="12.5" x14ac:dyDescent="0.25">
      <c r="C524" s="3"/>
    </row>
    <row r="525" spans="3:3" ht="12.5" x14ac:dyDescent="0.25">
      <c r="C525" s="3"/>
    </row>
    <row r="526" spans="3:3" ht="12.5" x14ac:dyDescent="0.25">
      <c r="C526" s="3"/>
    </row>
    <row r="527" spans="3:3" ht="12.5" x14ac:dyDescent="0.25">
      <c r="C527" s="3"/>
    </row>
    <row r="528" spans="3:3" ht="12.5" x14ac:dyDescent="0.25">
      <c r="C528" s="3"/>
    </row>
    <row r="529" spans="3:3" ht="12.5" x14ac:dyDescent="0.25">
      <c r="C529" s="3"/>
    </row>
    <row r="530" spans="3:3" ht="12.5" x14ac:dyDescent="0.25">
      <c r="C530" s="3"/>
    </row>
    <row r="531" spans="3:3" ht="12.5" x14ac:dyDescent="0.25">
      <c r="C531" s="3"/>
    </row>
    <row r="532" spans="3:3" ht="12.5" x14ac:dyDescent="0.25">
      <c r="C532" s="3"/>
    </row>
    <row r="533" spans="3:3" ht="12.5" x14ac:dyDescent="0.25">
      <c r="C533" s="3"/>
    </row>
    <row r="534" spans="3:3" ht="12.5" x14ac:dyDescent="0.25">
      <c r="C534" s="3"/>
    </row>
    <row r="535" spans="3:3" ht="12.5" x14ac:dyDescent="0.25">
      <c r="C535" s="3"/>
    </row>
    <row r="536" spans="3:3" ht="12.5" x14ac:dyDescent="0.25">
      <c r="C536" s="3"/>
    </row>
    <row r="537" spans="3:3" ht="12.5" x14ac:dyDescent="0.25">
      <c r="C537" s="3"/>
    </row>
    <row r="538" spans="3:3" ht="12.5" x14ac:dyDescent="0.25">
      <c r="C538" s="3"/>
    </row>
    <row r="539" spans="3:3" ht="12.5" x14ac:dyDescent="0.25">
      <c r="C539" s="3"/>
    </row>
    <row r="540" spans="3:3" ht="12.5" x14ac:dyDescent="0.25">
      <c r="C540" s="3"/>
    </row>
    <row r="541" spans="3:3" ht="12.5" x14ac:dyDescent="0.25">
      <c r="C541" s="3"/>
    </row>
    <row r="542" spans="3:3" ht="12.5" x14ac:dyDescent="0.25">
      <c r="C542" s="3"/>
    </row>
    <row r="543" spans="3:3" ht="12.5" x14ac:dyDescent="0.25">
      <c r="C543" s="3"/>
    </row>
    <row r="544" spans="3:3" ht="12.5" x14ac:dyDescent="0.25">
      <c r="C544" s="3"/>
    </row>
    <row r="545" spans="3:3" ht="12.5" x14ac:dyDescent="0.25">
      <c r="C545" s="3"/>
    </row>
    <row r="546" spans="3:3" ht="12.5" x14ac:dyDescent="0.25">
      <c r="C546" s="3"/>
    </row>
    <row r="547" spans="3:3" ht="12.5" x14ac:dyDescent="0.25">
      <c r="C547" s="3"/>
    </row>
    <row r="548" spans="3:3" ht="12.5" x14ac:dyDescent="0.25">
      <c r="C548" s="3"/>
    </row>
    <row r="549" spans="3:3" ht="12.5" x14ac:dyDescent="0.25">
      <c r="C549" s="3"/>
    </row>
    <row r="550" spans="3:3" ht="12.5" x14ac:dyDescent="0.25">
      <c r="C550" s="3"/>
    </row>
    <row r="551" spans="3:3" ht="12.5" x14ac:dyDescent="0.25">
      <c r="C551" s="3"/>
    </row>
    <row r="552" spans="3:3" ht="12.5" x14ac:dyDescent="0.25">
      <c r="C552" s="3"/>
    </row>
    <row r="553" spans="3:3" ht="12.5" x14ac:dyDescent="0.25">
      <c r="C553" s="3"/>
    </row>
    <row r="554" spans="3:3" ht="12.5" x14ac:dyDescent="0.25">
      <c r="C554" s="3"/>
    </row>
    <row r="555" spans="3:3" ht="12.5" x14ac:dyDescent="0.25">
      <c r="C555" s="3"/>
    </row>
    <row r="556" spans="3:3" ht="12.5" x14ac:dyDescent="0.25">
      <c r="C556" s="3"/>
    </row>
    <row r="557" spans="3:3" ht="12.5" x14ac:dyDescent="0.25">
      <c r="C557" s="3"/>
    </row>
    <row r="558" spans="3:3" ht="12.5" x14ac:dyDescent="0.25">
      <c r="C558" s="3"/>
    </row>
    <row r="559" spans="3:3" ht="12.5" x14ac:dyDescent="0.25">
      <c r="C559" s="3"/>
    </row>
    <row r="560" spans="3:3" ht="12.5" x14ac:dyDescent="0.25">
      <c r="C560" s="3"/>
    </row>
    <row r="561" spans="3:3" ht="12.5" x14ac:dyDescent="0.25">
      <c r="C561" s="3"/>
    </row>
    <row r="562" spans="3:3" ht="12.5" x14ac:dyDescent="0.25">
      <c r="C562" s="3"/>
    </row>
    <row r="563" spans="3:3" ht="12.5" x14ac:dyDescent="0.25">
      <c r="C563" s="3"/>
    </row>
    <row r="564" spans="3:3" ht="12.5" x14ac:dyDescent="0.25">
      <c r="C564" s="3"/>
    </row>
    <row r="565" spans="3:3" ht="12.5" x14ac:dyDescent="0.25">
      <c r="C565" s="3"/>
    </row>
    <row r="566" spans="3:3" ht="12.5" x14ac:dyDescent="0.25">
      <c r="C566" s="3"/>
    </row>
    <row r="567" spans="3:3" ht="12.5" x14ac:dyDescent="0.25">
      <c r="C567" s="3"/>
    </row>
    <row r="568" spans="3:3" ht="12.5" x14ac:dyDescent="0.25">
      <c r="C568" s="3"/>
    </row>
    <row r="569" spans="3:3" ht="12.5" x14ac:dyDescent="0.25">
      <c r="C569" s="3"/>
    </row>
    <row r="570" spans="3:3" ht="12.5" x14ac:dyDescent="0.25">
      <c r="C570" s="3"/>
    </row>
    <row r="571" spans="3:3" ht="12.5" x14ac:dyDescent="0.25">
      <c r="C571" s="3"/>
    </row>
    <row r="572" spans="3:3" ht="12.5" x14ac:dyDescent="0.25">
      <c r="C572" s="3"/>
    </row>
    <row r="573" spans="3:3" ht="12.5" x14ac:dyDescent="0.25">
      <c r="C573" s="3"/>
    </row>
    <row r="574" spans="3:3" ht="12.5" x14ac:dyDescent="0.25">
      <c r="C574" s="3"/>
    </row>
    <row r="575" spans="3:3" ht="12.5" x14ac:dyDescent="0.25">
      <c r="C575" s="3"/>
    </row>
    <row r="576" spans="3:3" ht="12.5" x14ac:dyDescent="0.25">
      <c r="C576" s="3"/>
    </row>
    <row r="577" spans="3:3" ht="12.5" x14ac:dyDescent="0.25">
      <c r="C577" s="3"/>
    </row>
    <row r="578" spans="3:3" ht="12.5" x14ac:dyDescent="0.25">
      <c r="C578" s="3"/>
    </row>
    <row r="579" spans="3:3" ht="12.5" x14ac:dyDescent="0.25">
      <c r="C579" s="3"/>
    </row>
    <row r="580" spans="3:3" ht="12.5" x14ac:dyDescent="0.25">
      <c r="C580" s="3"/>
    </row>
    <row r="581" spans="3:3" ht="12.5" x14ac:dyDescent="0.25">
      <c r="C581" s="3"/>
    </row>
    <row r="582" spans="3:3" ht="12.5" x14ac:dyDescent="0.25">
      <c r="C582" s="3"/>
    </row>
    <row r="583" spans="3:3" ht="12.5" x14ac:dyDescent="0.25">
      <c r="C583" s="3"/>
    </row>
    <row r="584" spans="3:3" ht="12.5" x14ac:dyDescent="0.25">
      <c r="C584" s="3"/>
    </row>
    <row r="585" spans="3:3" ht="12.5" x14ac:dyDescent="0.25">
      <c r="C585" s="3"/>
    </row>
    <row r="586" spans="3:3" ht="12.5" x14ac:dyDescent="0.25">
      <c r="C586" s="3"/>
    </row>
    <row r="587" spans="3:3" ht="12.5" x14ac:dyDescent="0.25">
      <c r="C587" s="3"/>
    </row>
    <row r="588" spans="3:3" ht="12.5" x14ac:dyDescent="0.25">
      <c r="C588" s="3"/>
    </row>
    <row r="589" spans="3:3" ht="12.5" x14ac:dyDescent="0.25">
      <c r="C589" s="3"/>
    </row>
    <row r="590" spans="3:3" ht="12.5" x14ac:dyDescent="0.25">
      <c r="C590" s="3"/>
    </row>
    <row r="591" spans="3:3" ht="12.5" x14ac:dyDescent="0.25">
      <c r="C591" s="3"/>
    </row>
    <row r="592" spans="3:3" ht="12.5" x14ac:dyDescent="0.25">
      <c r="C592" s="3"/>
    </row>
    <row r="593" spans="3:3" ht="12.5" x14ac:dyDescent="0.25">
      <c r="C593" s="3"/>
    </row>
    <row r="594" spans="3:3" ht="12.5" x14ac:dyDescent="0.25">
      <c r="C594" s="3"/>
    </row>
    <row r="595" spans="3:3" ht="12.5" x14ac:dyDescent="0.25">
      <c r="C595" s="3"/>
    </row>
    <row r="596" spans="3:3" ht="12.5" x14ac:dyDescent="0.25">
      <c r="C596" s="3"/>
    </row>
    <row r="597" spans="3:3" ht="12.5" x14ac:dyDescent="0.25">
      <c r="C597" s="3"/>
    </row>
    <row r="598" spans="3:3" ht="12.5" x14ac:dyDescent="0.25">
      <c r="C598" s="3"/>
    </row>
    <row r="599" spans="3:3" ht="12.5" x14ac:dyDescent="0.25">
      <c r="C599" s="3"/>
    </row>
    <row r="600" spans="3:3" ht="12.5" x14ac:dyDescent="0.25">
      <c r="C600" s="3"/>
    </row>
    <row r="601" spans="3:3" ht="12.5" x14ac:dyDescent="0.25">
      <c r="C601" s="3"/>
    </row>
    <row r="602" spans="3:3" ht="12.5" x14ac:dyDescent="0.25">
      <c r="C602" s="3"/>
    </row>
    <row r="603" spans="3:3" ht="12.5" x14ac:dyDescent="0.25">
      <c r="C603" s="3"/>
    </row>
    <row r="604" spans="3:3" ht="12.5" x14ac:dyDescent="0.25">
      <c r="C604" s="3"/>
    </row>
    <row r="605" spans="3:3" ht="12.5" x14ac:dyDescent="0.25">
      <c r="C605" s="3"/>
    </row>
    <row r="606" spans="3:3" ht="12.5" x14ac:dyDescent="0.25">
      <c r="C606" s="3"/>
    </row>
    <row r="607" spans="3:3" ht="12.5" x14ac:dyDescent="0.25">
      <c r="C607" s="3"/>
    </row>
    <row r="608" spans="3:3" ht="12.5" x14ac:dyDescent="0.25">
      <c r="C608" s="3"/>
    </row>
    <row r="609" spans="3:3" ht="12.5" x14ac:dyDescent="0.25">
      <c r="C609" s="3"/>
    </row>
    <row r="610" spans="3:3" ht="12.5" x14ac:dyDescent="0.25">
      <c r="C610" s="3"/>
    </row>
    <row r="611" spans="3:3" ht="12.5" x14ac:dyDescent="0.25">
      <c r="C611" s="3"/>
    </row>
    <row r="612" spans="3:3" ht="12.5" x14ac:dyDescent="0.25">
      <c r="C612" s="3"/>
    </row>
    <row r="613" spans="3:3" ht="12.5" x14ac:dyDescent="0.25">
      <c r="C613" s="3"/>
    </row>
    <row r="614" spans="3:3" ht="12.5" x14ac:dyDescent="0.25">
      <c r="C614" s="3"/>
    </row>
    <row r="615" spans="3:3" ht="12.5" x14ac:dyDescent="0.25">
      <c r="C615" s="3"/>
    </row>
    <row r="616" spans="3:3" ht="12.5" x14ac:dyDescent="0.25">
      <c r="C616" s="3"/>
    </row>
    <row r="617" spans="3:3" ht="12.5" x14ac:dyDescent="0.25">
      <c r="C617" s="3"/>
    </row>
    <row r="618" spans="3:3" ht="12.5" x14ac:dyDescent="0.25">
      <c r="C618" s="3"/>
    </row>
    <row r="619" spans="3:3" ht="12.5" x14ac:dyDescent="0.25">
      <c r="C619" s="3"/>
    </row>
    <row r="620" spans="3:3" ht="12.5" x14ac:dyDescent="0.25">
      <c r="C620" s="3"/>
    </row>
    <row r="621" spans="3:3" ht="12.5" x14ac:dyDescent="0.25">
      <c r="C621" s="3"/>
    </row>
    <row r="622" spans="3:3" ht="12.5" x14ac:dyDescent="0.25">
      <c r="C622" s="3"/>
    </row>
    <row r="623" spans="3:3" ht="12.5" x14ac:dyDescent="0.25">
      <c r="C623" s="3"/>
    </row>
    <row r="624" spans="3:3" ht="12.5" x14ac:dyDescent="0.25">
      <c r="C624" s="3"/>
    </row>
    <row r="625" spans="3:3" ht="12.5" x14ac:dyDescent="0.25">
      <c r="C625" s="3"/>
    </row>
    <row r="626" spans="3:3" ht="12.5" x14ac:dyDescent="0.25">
      <c r="C626" s="3"/>
    </row>
    <row r="627" spans="3:3" ht="12.5" x14ac:dyDescent="0.25">
      <c r="C627" s="3"/>
    </row>
    <row r="628" spans="3:3" ht="12.5" x14ac:dyDescent="0.25">
      <c r="C628" s="3"/>
    </row>
    <row r="629" spans="3:3" ht="12.5" x14ac:dyDescent="0.25">
      <c r="C629" s="3"/>
    </row>
    <row r="630" spans="3:3" ht="12.5" x14ac:dyDescent="0.25">
      <c r="C630" s="3"/>
    </row>
    <row r="631" spans="3:3" ht="12.5" x14ac:dyDescent="0.25">
      <c r="C631" s="3"/>
    </row>
    <row r="632" spans="3:3" ht="12.5" x14ac:dyDescent="0.25">
      <c r="C632" s="3"/>
    </row>
    <row r="633" spans="3:3" ht="12.5" x14ac:dyDescent="0.25">
      <c r="C633" s="3"/>
    </row>
    <row r="634" spans="3:3" ht="12.5" x14ac:dyDescent="0.25">
      <c r="C634" s="3"/>
    </row>
    <row r="635" spans="3:3" ht="12.5" x14ac:dyDescent="0.25">
      <c r="C635" s="3"/>
    </row>
    <row r="636" spans="3:3" ht="12.5" x14ac:dyDescent="0.25">
      <c r="C636" s="3"/>
    </row>
    <row r="637" spans="3:3" ht="12.5" x14ac:dyDescent="0.25">
      <c r="C637" s="3"/>
    </row>
    <row r="638" spans="3:3" ht="12.5" x14ac:dyDescent="0.25">
      <c r="C638" s="3"/>
    </row>
    <row r="639" spans="3:3" ht="12.5" x14ac:dyDescent="0.25">
      <c r="C639" s="3"/>
    </row>
    <row r="640" spans="3:3" ht="12.5" x14ac:dyDescent="0.25">
      <c r="C640" s="3"/>
    </row>
    <row r="641" spans="3:3" ht="12.5" x14ac:dyDescent="0.25">
      <c r="C641" s="3"/>
    </row>
    <row r="642" spans="3:3" ht="12.5" x14ac:dyDescent="0.25">
      <c r="C642" s="3"/>
    </row>
    <row r="643" spans="3:3" ht="12.5" x14ac:dyDescent="0.25">
      <c r="C643" s="3"/>
    </row>
    <row r="644" spans="3:3" ht="12.5" x14ac:dyDescent="0.25">
      <c r="C644" s="3"/>
    </row>
    <row r="645" spans="3:3" ht="12.5" x14ac:dyDescent="0.25">
      <c r="C645" s="3"/>
    </row>
    <row r="646" spans="3:3" ht="12.5" x14ac:dyDescent="0.25">
      <c r="C646" s="3"/>
    </row>
    <row r="647" spans="3:3" ht="12.5" x14ac:dyDescent="0.25">
      <c r="C647" s="3"/>
    </row>
    <row r="648" spans="3:3" ht="12.5" x14ac:dyDescent="0.25">
      <c r="C648" s="3"/>
    </row>
    <row r="649" spans="3:3" ht="12.5" x14ac:dyDescent="0.25">
      <c r="C649" s="3"/>
    </row>
    <row r="650" spans="3:3" ht="12.5" x14ac:dyDescent="0.25">
      <c r="C650" s="3"/>
    </row>
    <row r="651" spans="3:3" ht="12.5" x14ac:dyDescent="0.25">
      <c r="C651" s="3"/>
    </row>
    <row r="652" spans="3:3" ht="12.5" x14ac:dyDescent="0.25">
      <c r="C652" s="3"/>
    </row>
    <row r="653" spans="3:3" ht="12.5" x14ac:dyDescent="0.25">
      <c r="C653" s="3"/>
    </row>
    <row r="654" spans="3:3" ht="12.5" x14ac:dyDescent="0.25">
      <c r="C654" s="3"/>
    </row>
    <row r="655" spans="3:3" ht="12.5" x14ac:dyDescent="0.25">
      <c r="C655" s="3"/>
    </row>
    <row r="656" spans="3:3" ht="12.5" x14ac:dyDescent="0.25">
      <c r="C656" s="3"/>
    </row>
    <row r="657" spans="3:3" ht="12.5" x14ac:dyDescent="0.25">
      <c r="C657" s="3"/>
    </row>
    <row r="658" spans="3:3" ht="12.5" x14ac:dyDescent="0.25">
      <c r="C658" s="3"/>
    </row>
    <row r="659" spans="3:3" ht="12.5" x14ac:dyDescent="0.25">
      <c r="C659" s="3"/>
    </row>
    <row r="660" spans="3:3" ht="12.5" x14ac:dyDescent="0.25">
      <c r="C660" s="3"/>
    </row>
    <row r="661" spans="3:3" ht="12.5" x14ac:dyDescent="0.25">
      <c r="C661" s="3"/>
    </row>
    <row r="662" spans="3:3" ht="12.5" x14ac:dyDescent="0.25">
      <c r="C662" s="3"/>
    </row>
    <row r="663" spans="3:3" ht="12.5" x14ac:dyDescent="0.25">
      <c r="C663" s="3"/>
    </row>
    <row r="664" spans="3:3" ht="12.5" x14ac:dyDescent="0.25">
      <c r="C664" s="3"/>
    </row>
    <row r="665" spans="3:3" ht="12.5" x14ac:dyDescent="0.25">
      <c r="C665" s="3"/>
    </row>
    <row r="666" spans="3:3" ht="12.5" x14ac:dyDescent="0.25">
      <c r="C666" s="3"/>
    </row>
    <row r="667" spans="3:3" ht="12.5" x14ac:dyDescent="0.25">
      <c r="C667" s="3"/>
    </row>
    <row r="668" spans="3:3" ht="12.5" x14ac:dyDescent="0.25">
      <c r="C668" s="3"/>
    </row>
    <row r="669" spans="3:3" ht="12.5" x14ac:dyDescent="0.25">
      <c r="C669" s="3"/>
    </row>
    <row r="670" spans="3:3" ht="12.5" x14ac:dyDescent="0.25">
      <c r="C670" s="3"/>
    </row>
    <row r="671" spans="3:3" ht="12.5" x14ac:dyDescent="0.25">
      <c r="C671" s="3"/>
    </row>
    <row r="672" spans="3:3" ht="12.5" x14ac:dyDescent="0.25">
      <c r="C672" s="3"/>
    </row>
    <row r="673" spans="3:3" ht="12.5" x14ac:dyDescent="0.25">
      <c r="C673" s="3"/>
    </row>
    <row r="674" spans="3:3" ht="12.5" x14ac:dyDescent="0.25">
      <c r="C674" s="3"/>
    </row>
    <row r="675" spans="3:3" ht="12.5" x14ac:dyDescent="0.25">
      <c r="C675" s="3"/>
    </row>
    <row r="676" spans="3:3" ht="12.5" x14ac:dyDescent="0.25">
      <c r="C676" s="3"/>
    </row>
    <row r="677" spans="3:3" ht="12.5" x14ac:dyDescent="0.25">
      <c r="C677" s="3"/>
    </row>
    <row r="678" spans="3:3" ht="12.5" x14ac:dyDescent="0.25">
      <c r="C678" s="3"/>
    </row>
    <row r="679" spans="3:3" ht="12.5" x14ac:dyDescent="0.25">
      <c r="C679" s="3"/>
    </row>
    <row r="680" spans="3:3" ht="12.5" x14ac:dyDescent="0.25">
      <c r="C680" s="3"/>
    </row>
    <row r="681" spans="3:3" ht="12.5" x14ac:dyDescent="0.25">
      <c r="C681" s="3"/>
    </row>
    <row r="682" spans="3:3" ht="12.5" x14ac:dyDescent="0.25">
      <c r="C682" s="3"/>
    </row>
    <row r="683" spans="3:3" ht="12.5" x14ac:dyDescent="0.25">
      <c r="C683" s="3"/>
    </row>
    <row r="684" spans="3:3" ht="12.5" x14ac:dyDescent="0.25">
      <c r="C684" s="3"/>
    </row>
    <row r="685" spans="3:3" ht="12.5" x14ac:dyDescent="0.25">
      <c r="C685" s="3"/>
    </row>
    <row r="686" spans="3:3" ht="12.5" x14ac:dyDescent="0.25">
      <c r="C686" s="3"/>
    </row>
    <row r="687" spans="3:3" ht="12.5" x14ac:dyDescent="0.25">
      <c r="C687" s="3"/>
    </row>
    <row r="688" spans="3:3" ht="12.5" x14ac:dyDescent="0.25">
      <c r="C688" s="3"/>
    </row>
    <row r="689" spans="3:3" ht="12.5" x14ac:dyDescent="0.25">
      <c r="C689" s="3"/>
    </row>
    <row r="690" spans="3:3" ht="12.5" x14ac:dyDescent="0.25">
      <c r="C690" s="3"/>
    </row>
    <row r="691" spans="3:3" ht="12.5" x14ac:dyDescent="0.25">
      <c r="C691" s="3"/>
    </row>
    <row r="692" spans="3:3" ht="12.5" x14ac:dyDescent="0.25">
      <c r="C692" s="3"/>
    </row>
    <row r="693" spans="3:3" ht="12.5" x14ac:dyDescent="0.25">
      <c r="C693" s="3"/>
    </row>
    <row r="694" spans="3:3" ht="12.5" x14ac:dyDescent="0.25">
      <c r="C694" s="3"/>
    </row>
    <row r="695" spans="3:3" ht="12.5" x14ac:dyDescent="0.25">
      <c r="C695" s="3"/>
    </row>
    <row r="696" spans="3:3" ht="12.5" x14ac:dyDescent="0.25">
      <c r="C696" s="3"/>
    </row>
    <row r="697" spans="3:3" ht="12.5" x14ac:dyDescent="0.25">
      <c r="C697" s="3"/>
    </row>
    <row r="698" spans="3:3" ht="12.5" x14ac:dyDescent="0.25">
      <c r="C698" s="3"/>
    </row>
    <row r="699" spans="3:3" ht="12.5" x14ac:dyDescent="0.25">
      <c r="C699" s="3"/>
    </row>
    <row r="700" spans="3:3" ht="12.5" x14ac:dyDescent="0.25">
      <c r="C700" s="3"/>
    </row>
    <row r="701" spans="3:3" ht="12.5" x14ac:dyDescent="0.25">
      <c r="C701" s="3"/>
    </row>
    <row r="702" spans="3:3" ht="12.5" x14ac:dyDescent="0.25">
      <c r="C702" s="3"/>
    </row>
    <row r="703" spans="3:3" ht="12.5" x14ac:dyDescent="0.25">
      <c r="C703" s="3"/>
    </row>
    <row r="704" spans="3:3" ht="12.5" x14ac:dyDescent="0.25">
      <c r="C704" s="3"/>
    </row>
    <row r="705" spans="3:3" ht="12.5" x14ac:dyDescent="0.25">
      <c r="C705" s="3"/>
    </row>
    <row r="706" spans="3:3" ht="12.5" x14ac:dyDescent="0.25">
      <c r="C706" s="3"/>
    </row>
    <row r="707" spans="3:3" ht="12.5" x14ac:dyDescent="0.25">
      <c r="C707" s="3"/>
    </row>
    <row r="708" spans="3:3" ht="12.5" x14ac:dyDescent="0.25">
      <c r="C708" s="3"/>
    </row>
    <row r="709" spans="3:3" ht="12.5" x14ac:dyDescent="0.25">
      <c r="C709" s="3"/>
    </row>
    <row r="710" spans="3:3" ht="12.5" x14ac:dyDescent="0.25">
      <c r="C710" s="3"/>
    </row>
    <row r="711" spans="3:3" ht="12.5" x14ac:dyDescent="0.25">
      <c r="C711" s="3"/>
    </row>
    <row r="712" spans="3:3" ht="12.5" x14ac:dyDescent="0.25">
      <c r="C712" s="3"/>
    </row>
    <row r="713" spans="3:3" ht="12.5" x14ac:dyDescent="0.25">
      <c r="C713" s="3"/>
    </row>
    <row r="714" spans="3:3" ht="12.5" x14ac:dyDescent="0.25">
      <c r="C714" s="3"/>
    </row>
    <row r="715" spans="3:3" ht="12.5" x14ac:dyDescent="0.25">
      <c r="C715" s="3"/>
    </row>
    <row r="716" spans="3:3" ht="12.5" x14ac:dyDescent="0.25">
      <c r="C716" s="3"/>
    </row>
    <row r="717" spans="3:3" ht="12.5" x14ac:dyDescent="0.25">
      <c r="C717" s="3"/>
    </row>
    <row r="718" spans="3:3" ht="12.5" x14ac:dyDescent="0.25">
      <c r="C718" s="3"/>
    </row>
    <row r="719" spans="3:3" ht="12.5" x14ac:dyDescent="0.25">
      <c r="C719" s="3"/>
    </row>
    <row r="720" spans="3:3" ht="12.5" x14ac:dyDescent="0.25">
      <c r="C720" s="3"/>
    </row>
    <row r="721" spans="3:3" ht="12.5" x14ac:dyDescent="0.25">
      <c r="C721" s="3"/>
    </row>
    <row r="722" spans="3:3" ht="12.5" x14ac:dyDescent="0.25">
      <c r="C722" s="3"/>
    </row>
    <row r="723" spans="3:3" ht="12.5" x14ac:dyDescent="0.25">
      <c r="C723" s="3"/>
    </row>
    <row r="724" spans="3:3" ht="12.5" x14ac:dyDescent="0.25">
      <c r="C724" s="3"/>
    </row>
    <row r="725" spans="3:3" ht="12.5" x14ac:dyDescent="0.25">
      <c r="C725" s="3"/>
    </row>
    <row r="726" spans="3:3" ht="12.5" x14ac:dyDescent="0.25">
      <c r="C726" s="3"/>
    </row>
    <row r="727" spans="3:3" ht="12.5" x14ac:dyDescent="0.25">
      <c r="C727" s="3"/>
    </row>
    <row r="728" spans="3:3" ht="12.5" x14ac:dyDescent="0.25">
      <c r="C728" s="3"/>
    </row>
    <row r="729" spans="3:3" ht="12.5" x14ac:dyDescent="0.25">
      <c r="C729" s="3"/>
    </row>
    <row r="730" spans="3:3" ht="12.5" x14ac:dyDescent="0.25">
      <c r="C730" s="3"/>
    </row>
    <row r="731" spans="3:3" ht="12.5" x14ac:dyDescent="0.25">
      <c r="C731" s="3"/>
    </row>
    <row r="732" spans="3:3" ht="12.5" x14ac:dyDescent="0.25">
      <c r="C732" s="3"/>
    </row>
    <row r="733" spans="3:3" ht="12.5" x14ac:dyDescent="0.25">
      <c r="C733" s="3"/>
    </row>
    <row r="734" spans="3:3" ht="12.5" x14ac:dyDescent="0.25">
      <c r="C734" s="3"/>
    </row>
    <row r="735" spans="3:3" ht="12.5" x14ac:dyDescent="0.25">
      <c r="C735" s="3"/>
    </row>
    <row r="736" spans="3:3" ht="12.5" x14ac:dyDescent="0.25">
      <c r="C736" s="3"/>
    </row>
    <row r="737" spans="3:3" ht="12.5" x14ac:dyDescent="0.25">
      <c r="C737" s="3"/>
    </row>
    <row r="738" spans="3:3" ht="12.5" x14ac:dyDescent="0.25">
      <c r="C738" s="3"/>
    </row>
    <row r="739" spans="3:3" ht="12.5" x14ac:dyDescent="0.25">
      <c r="C739" s="3"/>
    </row>
    <row r="740" spans="3:3" ht="12.5" x14ac:dyDescent="0.25">
      <c r="C740" s="3"/>
    </row>
    <row r="741" spans="3:3" ht="12.5" x14ac:dyDescent="0.25">
      <c r="C741" s="3"/>
    </row>
    <row r="742" spans="3:3" ht="12.5" x14ac:dyDescent="0.25">
      <c r="C742" s="3"/>
    </row>
    <row r="743" spans="3:3" ht="12.5" x14ac:dyDescent="0.25">
      <c r="C743" s="3"/>
    </row>
    <row r="744" spans="3:3" ht="12.5" x14ac:dyDescent="0.25">
      <c r="C744" s="3"/>
    </row>
    <row r="745" spans="3:3" ht="12.5" x14ac:dyDescent="0.25">
      <c r="C745" s="3"/>
    </row>
    <row r="746" spans="3:3" ht="12.5" x14ac:dyDescent="0.25">
      <c r="C746" s="3"/>
    </row>
    <row r="747" spans="3:3" ht="12.5" x14ac:dyDescent="0.25">
      <c r="C747" s="3"/>
    </row>
    <row r="748" spans="3:3" ht="12.5" x14ac:dyDescent="0.25">
      <c r="C748" s="3"/>
    </row>
    <row r="749" spans="3:3" ht="12.5" x14ac:dyDescent="0.25">
      <c r="C749" s="3"/>
    </row>
    <row r="750" spans="3:3" ht="12.5" x14ac:dyDescent="0.25">
      <c r="C750" s="3"/>
    </row>
    <row r="751" spans="3:3" ht="12.5" x14ac:dyDescent="0.25">
      <c r="C751" s="3"/>
    </row>
    <row r="752" spans="3:3" ht="12.5" x14ac:dyDescent="0.25">
      <c r="C752" s="3"/>
    </row>
    <row r="753" spans="3:3" ht="12.5" x14ac:dyDescent="0.25">
      <c r="C753" s="3"/>
    </row>
    <row r="754" spans="3:3" ht="12.5" x14ac:dyDescent="0.25">
      <c r="C754" s="3"/>
    </row>
    <row r="755" spans="3:3" ht="12.5" x14ac:dyDescent="0.25">
      <c r="C755" s="3"/>
    </row>
    <row r="756" spans="3:3" ht="12.5" x14ac:dyDescent="0.25">
      <c r="C756" s="3"/>
    </row>
    <row r="757" spans="3:3" ht="12.5" x14ac:dyDescent="0.25">
      <c r="C757" s="3"/>
    </row>
    <row r="758" spans="3:3" ht="12.5" x14ac:dyDescent="0.25">
      <c r="C758" s="3"/>
    </row>
    <row r="759" spans="3:3" ht="12.5" x14ac:dyDescent="0.25">
      <c r="C759" s="3"/>
    </row>
    <row r="760" spans="3:3" ht="12.5" x14ac:dyDescent="0.25">
      <c r="C760" s="3"/>
    </row>
    <row r="761" spans="3:3" ht="12.5" x14ac:dyDescent="0.25">
      <c r="C761" s="3"/>
    </row>
    <row r="762" spans="3:3" ht="12.5" x14ac:dyDescent="0.25">
      <c r="C762" s="3"/>
    </row>
    <row r="763" spans="3:3" ht="12.5" x14ac:dyDescent="0.25">
      <c r="C763" s="3"/>
    </row>
    <row r="764" spans="3:3" ht="12.5" x14ac:dyDescent="0.25">
      <c r="C764" s="3"/>
    </row>
    <row r="765" spans="3:3" ht="12.5" x14ac:dyDescent="0.25">
      <c r="C765" s="3"/>
    </row>
    <row r="766" spans="3:3" ht="12.5" x14ac:dyDescent="0.25">
      <c r="C766" s="3"/>
    </row>
    <row r="767" spans="3:3" ht="12.5" x14ac:dyDescent="0.25">
      <c r="C767" s="3"/>
    </row>
    <row r="768" spans="3:3" ht="12.5" x14ac:dyDescent="0.25">
      <c r="C768" s="3"/>
    </row>
    <row r="769" spans="3:3" ht="12.5" x14ac:dyDescent="0.25">
      <c r="C769" s="3"/>
    </row>
    <row r="770" spans="3:3" ht="12.5" x14ac:dyDescent="0.25">
      <c r="C770" s="3"/>
    </row>
    <row r="771" spans="3:3" ht="12.5" x14ac:dyDescent="0.25">
      <c r="C771" s="3"/>
    </row>
    <row r="772" spans="3:3" ht="12.5" x14ac:dyDescent="0.25">
      <c r="C772" s="3"/>
    </row>
    <row r="773" spans="3:3" ht="12.5" x14ac:dyDescent="0.25">
      <c r="C773" s="3"/>
    </row>
    <row r="774" spans="3:3" ht="12.5" x14ac:dyDescent="0.25">
      <c r="C774" s="3"/>
    </row>
    <row r="775" spans="3:3" ht="12.5" x14ac:dyDescent="0.25">
      <c r="C775" s="3"/>
    </row>
    <row r="776" spans="3:3" ht="12.5" x14ac:dyDescent="0.25">
      <c r="C776" s="3"/>
    </row>
    <row r="777" spans="3:3" ht="12.5" x14ac:dyDescent="0.25">
      <c r="C777" s="3"/>
    </row>
    <row r="778" spans="3:3" ht="12.5" x14ac:dyDescent="0.25">
      <c r="C778" s="3"/>
    </row>
    <row r="779" spans="3:3" ht="12.5" x14ac:dyDescent="0.25">
      <c r="C779" s="3"/>
    </row>
    <row r="780" spans="3:3" ht="12.5" x14ac:dyDescent="0.25">
      <c r="C780" s="3"/>
    </row>
    <row r="781" spans="3:3" ht="12.5" x14ac:dyDescent="0.25">
      <c r="C781" s="3"/>
    </row>
    <row r="782" spans="3:3" ht="12.5" x14ac:dyDescent="0.25">
      <c r="C782" s="3"/>
    </row>
    <row r="783" spans="3:3" ht="12.5" x14ac:dyDescent="0.25">
      <c r="C783" s="3"/>
    </row>
    <row r="784" spans="3:3" ht="12.5" x14ac:dyDescent="0.25">
      <c r="C784" s="3"/>
    </row>
    <row r="785" spans="3:3" ht="12.5" x14ac:dyDescent="0.25">
      <c r="C785" s="3"/>
    </row>
    <row r="786" spans="3:3" ht="12.5" x14ac:dyDescent="0.25">
      <c r="C786" s="3"/>
    </row>
    <row r="787" spans="3:3" ht="12.5" x14ac:dyDescent="0.25">
      <c r="C787" s="3"/>
    </row>
    <row r="788" spans="3:3" ht="12.5" x14ac:dyDescent="0.25">
      <c r="C788" s="3"/>
    </row>
    <row r="789" spans="3:3" ht="12.5" x14ac:dyDescent="0.25">
      <c r="C789" s="3"/>
    </row>
    <row r="790" spans="3:3" ht="12.5" x14ac:dyDescent="0.25">
      <c r="C790" s="3"/>
    </row>
    <row r="791" spans="3:3" ht="12.5" x14ac:dyDescent="0.25">
      <c r="C791" s="3"/>
    </row>
    <row r="792" spans="3:3" ht="12.5" x14ac:dyDescent="0.25">
      <c r="C792" s="3"/>
    </row>
    <row r="793" spans="3:3" ht="12.5" x14ac:dyDescent="0.25">
      <c r="C793" s="3"/>
    </row>
    <row r="794" spans="3:3" ht="12.5" x14ac:dyDescent="0.25">
      <c r="C794" s="3"/>
    </row>
    <row r="795" spans="3:3" ht="12.5" x14ac:dyDescent="0.25">
      <c r="C795" s="3"/>
    </row>
    <row r="796" spans="3:3" ht="12.5" x14ac:dyDescent="0.25">
      <c r="C796" s="3"/>
    </row>
    <row r="797" spans="3:3" ht="12.5" x14ac:dyDescent="0.25">
      <c r="C797" s="3"/>
    </row>
    <row r="798" spans="3:3" ht="12.5" x14ac:dyDescent="0.25">
      <c r="C798" s="3"/>
    </row>
    <row r="799" spans="3:3" ht="12.5" x14ac:dyDescent="0.25">
      <c r="C799" s="3"/>
    </row>
    <row r="800" spans="3:3" ht="12.5" x14ac:dyDescent="0.25">
      <c r="C800" s="3"/>
    </row>
    <row r="801" spans="3:3" ht="12.5" x14ac:dyDescent="0.25">
      <c r="C801" s="3"/>
    </row>
    <row r="802" spans="3:3" ht="12.5" x14ac:dyDescent="0.25">
      <c r="C802" s="3"/>
    </row>
    <row r="803" spans="3:3" ht="12.5" x14ac:dyDescent="0.25">
      <c r="C803" s="3"/>
    </row>
    <row r="804" spans="3:3" ht="12.5" x14ac:dyDescent="0.25">
      <c r="C804" s="3"/>
    </row>
    <row r="805" spans="3:3" ht="12.5" x14ac:dyDescent="0.25">
      <c r="C805" s="3"/>
    </row>
    <row r="806" spans="3:3" ht="12.5" x14ac:dyDescent="0.25">
      <c r="C806" s="3"/>
    </row>
    <row r="807" spans="3:3" ht="12.5" x14ac:dyDescent="0.25">
      <c r="C807" s="3"/>
    </row>
    <row r="808" spans="3:3" ht="12.5" x14ac:dyDescent="0.25">
      <c r="C808" s="3"/>
    </row>
    <row r="809" spans="3:3" ht="12.5" x14ac:dyDescent="0.25">
      <c r="C809" s="3"/>
    </row>
    <row r="810" spans="3:3" ht="12.5" x14ac:dyDescent="0.25">
      <c r="C810" s="3"/>
    </row>
    <row r="811" spans="3:3" ht="12.5" x14ac:dyDescent="0.25">
      <c r="C811" s="3"/>
    </row>
    <row r="812" spans="3:3" ht="12.5" x14ac:dyDescent="0.25">
      <c r="C812" s="3"/>
    </row>
    <row r="813" spans="3:3" ht="12.5" x14ac:dyDescent="0.25">
      <c r="C813" s="3"/>
    </row>
    <row r="814" spans="3:3" ht="12.5" x14ac:dyDescent="0.25">
      <c r="C814" s="3"/>
    </row>
    <row r="815" spans="3:3" ht="12.5" x14ac:dyDescent="0.25">
      <c r="C815" s="3"/>
    </row>
    <row r="816" spans="3:3" ht="12.5" x14ac:dyDescent="0.25">
      <c r="C816" s="3"/>
    </row>
    <row r="817" spans="3:3" ht="12.5" x14ac:dyDescent="0.25">
      <c r="C817" s="3"/>
    </row>
    <row r="818" spans="3:3" ht="12.5" x14ac:dyDescent="0.25">
      <c r="C818" s="3"/>
    </row>
    <row r="819" spans="3:3" ht="12.5" x14ac:dyDescent="0.25">
      <c r="C819" s="3"/>
    </row>
    <row r="820" spans="3:3" ht="12.5" x14ac:dyDescent="0.25">
      <c r="C820" s="3"/>
    </row>
    <row r="821" spans="3:3" ht="12.5" x14ac:dyDescent="0.25">
      <c r="C821" s="3"/>
    </row>
    <row r="822" spans="3:3" ht="12.5" x14ac:dyDescent="0.25">
      <c r="C822" s="3"/>
    </row>
    <row r="823" spans="3:3" ht="12.5" x14ac:dyDescent="0.25">
      <c r="C823" s="3"/>
    </row>
    <row r="824" spans="3:3" ht="12.5" x14ac:dyDescent="0.25">
      <c r="C824" s="3"/>
    </row>
    <row r="825" spans="3:3" ht="12.5" x14ac:dyDescent="0.25">
      <c r="C825" s="3"/>
    </row>
    <row r="826" spans="3:3" ht="12.5" x14ac:dyDescent="0.25">
      <c r="C826" s="3"/>
    </row>
    <row r="827" spans="3:3" ht="12.5" x14ac:dyDescent="0.25">
      <c r="C827" s="3"/>
    </row>
    <row r="828" spans="3:3" ht="12.5" x14ac:dyDescent="0.25">
      <c r="C828" s="3"/>
    </row>
    <row r="829" spans="3:3" ht="12.5" x14ac:dyDescent="0.25">
      <c r="C829" s="3"/>
    </row>
    <row r="830" spans="3:3" ht="12.5" x14ac:dyDescent="0.25">
      <c r="C830" s="3"/>
    </row>
    <row r="831" spans="3:3" ht="12.5" x14ac:dyDescent="0.25">
      <c r="C831" s="3"/>
    </row>
    <row r="832" spans="3:3" ht="12.5" x14ac:dyDescent="0.25">
      <c r="C832" s="3"/>
    </row>
    <row r="833" spans="3:3" ht="12.5" x14ac:dyDescent="0.25">
      <c r="C833" s="3"/>
    </row>
    <row r="834" spans="3:3" ht="12.5" x14ac:dyDescent="0.25">
      <c r="C834" s="3"/>
    </row>
    <row r="835" spans="3:3" ht="12.5" x14ac:dyDescent="0.25">
      <c r="C835" s="3"/>
    </row>
    <row r="836" spans="3:3" ht="12.5" x14ac:dyDescent="0.25">
      <c r="C836" s="3"/>
    </row>
    <row r="837" spans="3:3" ht="12.5" x14ac:dyDescent="0.25">
      <c r="C837" s="3"/>
    </row>
    <row r="838" spans="3:3" ht="12.5" x14ac:dyDescent="0.25">
      <c r="C838" s="3"/>
    </row>
    <row r="839" spans="3:3" ht="12.5" x14ac:dyDescent="0.25">
      <c r="C839" s="3"/>
    </row>
    <row r="840" spans="3:3" ht="12.5" x14ac:dyDescent="0.25">
      <c r="C840" s="3"/>
    </row>
    <row r="841" spans="3:3" ht="12.5" x14ac:dyDescent="0.25">
      <c r="C841" s="3"/>
    </row>
    <row r="842" spans="3:3" ht="12.5" x14ac:dyDescent="0.25">
      <c r="C842" s="3"/>
    </row>
    <row r="843" spans="3:3" ht="12.5" x14ac:dyDescent="0.25">
      <c r="C843" s="3"/>
    </row>
    <row r="844" spans="3:3" ht="12.5" x14ac:dyDescent="0.25">
      <c r="C844" s="3"/>
    </row>
    <row r="845" spans="3:3" ht="12.5" x14ac:dyDescent="0.25">
      <c r="C845" s="3"/>
    </row>
    <row r="846" spans="3:3" ht="12.5" x14ac:dyDescent="0.25">
      <c r="C846" s="3"/>
    </row>
    <row r="847" spans="3:3" ht="12.5" x14ac:dyDescent="0.25">
      <c r="C847" s="3"/>
    </row>
    <row r="848" spans="3:3" ht="12.5" x14ac:dyDescent="0.25">
      <c r="C848" s="3"/>
    </row>
    <row r="849" spans="3:3" ht="12.5" x14ac:dyDescent="0.25">
      <c r="C849" s="3"/>
    </row>
    <row r="850" spans="3:3" ht="12.5" x14ac:dyDescent="0.25">
      <c r="C850" s="3"/>
    </row>
    <row r="851" spans="3:3" ht="12.5" x14ac:dyDescent="0.25">
      <c r="C851" s="3"/>
    </row>
    <row r="852" spans="3:3" ht="12.5" x14ac:dyDescent="0.25">
      <c r="C852" s="3"/>
    </row>
    <row r="853" spans="3:3" ht="12.5" x14ac:dyDescent="0.25">
      <c r="C853" s="3"/>
    </row>
    <row r="854" spans="3:3" ht="12.5" x14ac:dyDescent="0.25">
      <c r="C854" s="3"/>
    </row>
    <row r="855" spans="3:3" ht="12.5" x14ac:dyDescent="0.25">
      <c r="C855" s="3"/>
    </row>
    <row r="856" spans="3:3" ht="12.5" x14ac:dyDescent="0.25">
      <c r="C856" s="3"/>
    </row>
    <row r="857" spans="3:3" ht="12.5" x14ac:dyDescent="0.25">
      <c r="C857" s="3"/>
    </row>
    <row r="858" spans="3:3" ht="12.5" x14ac:dyDescent="0.25">
      <c r="C858" s="3"/>
    </row>
    <row r="859" spans="3:3" ht="12.5" x14ac:dyDescent="0.25">
      <c r="C859" s="3"/>
    </row>
    <row r="860" spans="3:3" ht="12.5" x14ac:dyDescent="0.25">
      <c r="C860" s="3"/>
    </row>
    <row r="861" spans="3:3" ht="12.5" x14ac:dyDescent="0.25">
      <c r="C861" s="3"/>
    </row>
    <row r="862" spans="3:3" ht="12.5" x14ac:dyDescent="0.25">
      <c r="C862" s="3"/>
    </row>
    <row r="863" spans="3:3" ht="12.5" x14ac:dyDescent="0.25">
      <c r="C863" s="3"/>
    </row>
    <row r="864" spans="3:3" ht="12.5" x14ac:dyDescent="0.25">
      <c r="C864" s="3"/>
    </row>
    <row r="865" spans="3:3" ht="12.5" x14ac:dyDescent="0.25">
      <c r="C865" s="3"/>
    </row>
    <row r="866" spans="3:3" ht="12.5" x14ac:dyDescent="0.25">
      <c r="C866" s="3"/>
    </row>
    <row r="867" spans="3:3" ht="12.5" x14ac:dyDescent="0.25">
      <c r="C867" s="3"/>
    </row>
    <row r="868" spans="3:3" ht="12.5" x14ac:dyDescent="0.25">
      <c r="C868" s="3"/>
    </row>
    <row r="869" spans="3:3" ht="12.5" x14ac:dyDescent="0.25">
      <c r="C869" s="3"/>
    </row>
    <row r="870" spans="3:3" ht="12.5" x14ac:dyDescent="0.25">
      <c r="C870" s="3"/>
    </row>
    <row r="871" spans="3:3" ht="12.5" x14ac:dyDescent="0.25">
      <c r="C871" s="3"/>
    </row>
    <row r="872" spans="3:3" ht="12.5" x14ac:dyDescent="0.25">
      <c r="C872" s="3"/>
    </row>
    <row r="873" spans="3:3" ht="12.5" x14ac:dyDescent="0.25">
      <c r="C873" s="3"/>
    </row>
    <row r="874" spans="3:3" ht="12.5" x14ac:dyDescent="0.25">
      <c r="C874" s="3"/>
    </row>
    <row r="875" spans="3:3" ht="12.5" x14ac:dyDescent="0.25">
      <c r="C875" s="3"/>
    </row>
    <row r="876" spans="3:3" ht="12.5" x14ac:dyDescent="0.25">
      <c r="C876" s="3"/>
    </row>
    <row r="877" spans="3:3" ht="12.5" x14ac:dyDescent="0.25">
      <c r="C877" s="3"/>
    </row>
    <row r="878" spans="3:3" ht="12.5" x14ac:dyDescent="0.25">
      <c r="C878" s="3"/>
    </row>
    <row r="879" spans="3:3" ht="12.5" x14ac:dyDescent="0.25">
      <c r="C879" s="3"/>
    </row>
    <row r="880" spans="3:3" ht="12.5" x14ac:dyDescent="0.25">
      <c r="C880" s="3"/>
    </row>
    <row r="881" spans="3:3" ht="12.5" x14ac:dyDescent="0.25">
      <c r="C881" s="3"/>
    </row>
    <row r="882" spans="3:3" ht="12.5" x14ac:dyDescent="0.25">
      <c r="C882" s="3"/>
    </row>
    <row r="883" spans="3:3" ht="12.5" x14ac:dyDescent="0.25">
      <c r="C883" s="3"/>
    </row>
    <row r="884" spans="3:3" ht="12.5" x14ac:dyDescent="0.25">
      <c r="C884" s="3"/>
    </row>
    <row r="885" spans="3:3" ht="12.5" x14ac:dyDescent="0.25">
      <c r="C885" s="3"/>
    </row>
    <row r="886" spans="3:3" ht="12.5" x14ac:dyDescent="0.25">
      <c r="C886" s="3"/>
    </row>
    <row r="887" spans="3:3" ht="12.5" x14ac:dyDescent="0.25">
      <c r="C887" s="3"/>
    </row>
    <row r="888" spans="3:3" ht="12.5" x14ac:dyDescent="0.25">
      <c r="C888" s="3"/>
    </row>
    <row r="889" spans="3:3" ht="12.5" x14ac:dyDescent="0.25">
      <c r="C889" s="3"/>
    </row>
    <row r="890" spans="3:3" ht="12.5" x14ac:dyDescent="0.25">
      <c r="C890" s="3"/>
    </row>
    <row r="891" spans="3:3" ht="12.5" x14ac:dyDescent="0.25">
      <c r="C891" s="3"/>
    </row>
    <row r="892" spans="3:3" ht="12.5" x14ac:dyDescent="0.25">
      <c r="C892" s="3"/>
    </row>
    <row r="893" spans="3:3" ht="12.5" x14ac:dyDescent="0.25">
      <c r="C893" s="3"/>
    </row>
    <row r="894" spans="3:3" ht="12.5" x14ac:dyDescent="0.25">
      <c r="C894" s="3"/>
    </row>
    <row r="895" spans="3:3" ht="12.5" x14ac:dyDescent="0.25">
      <c r="C895" s="3"/>
    </row>
    <row r="896" spans="3:3" ht="12.5" x14ac:dyDescent="0.25">
      <c r="C896" s="3"/>
    </row>
    <row r="897" spans="3:3" ht="12.5" x14ac:dyDescent="0.25">
      <c r="C897" s="3"/>
    </row>
    <row r="898" spans="3:3" ht="12.5" x14ac:dyDescent="0.25">
      <c r="C898" s="3"/>
    </row>
    <row r="899" spans="3:3" ht="12.5" x14ac:dyDescent="0.25">
      <c r="C899" s="3"/>
    </row>
    <row r="900" spans="3:3" ht="12.5" x14ac:dyDescent="0.25">
      <c r="C900" s="3"/>
    </row>
    <row r="901" spans="3:3" ht="12.5" x14ac:dyDescent="0.25">
      <c r="C901" s="3"/>
    </row>
    <row r="902" spans="3:3" ht="12.5" x14ac:dyDescent="0.25">
      <c r="C902" s="3"/>
    </row>
    <row r="903" spans="3:3" ht="12.5" x14ac:dyDescent="0.25">
      <c r="C903" s="3"/>
    </row>
    <row r="904" spans="3:3" ht="12.5" x14ac:dyDescent="0.25">
      <c r="C904" s="3"/>
    </row>
    <row r="905" spans="3:3" ht="12.5" x14ac:dyDescent="0.25">
      <c r="C905" s="3"/>
    </row>
    <row r="906" spans="3:3" ht="12.5" x14ac:dyDescent="0.25">
      <c r="C906" s="3"/>
    </row>
    <row r="907" spans="3:3" ht="12.5" x14ac:dyDescent="0.25">
      <c r="C907" s="3"/>
    </row>
    <row r="908" spans="3:3" ht="12.5" x14ac:dyDescent="0.25">
      <c r="C908" s="3"/>
    </row>
    <row r="909" spans="3:3" ht="12.5" x14ac:dyDescent="0.25">
      <c r="C909" s="3"/>
    </row>
    <row r="910" spans="3:3" ht="12.5" x14ac:dyDescent="0.25">
      <c r="C910" s="3"/>
    </row>
    <row r="911" spans="3:3" ht="12.5" x14ac:dyDescent="0.25">
      <c r="C911" s="3"/>
    </row>
    <row r="912" spans="3:3" ht="12.5" x14ac:dyDescent="0.25">
      <c r="C912" s="3"/>
    </row>
    <row r="913" spans="3:3" ht="12.5" x14ac:dyDescent="0.25">
      <c r="C913" s="3"/>
    </row>
    <row r="914" spans="3:3" ht="12.5" x14ac:dyDescent="0.25">
      <c r="C914" s="3"/>
    </row>
    <row r="915" spans="3:3" ht="12.5" x14ac:dyDescent="0.25">
      <c r="C915" s="3"/>
    </row>
    <row r="916" spans="3:3" ht="12.5" x14ac:dyDescent="0.25">
      <c r="C916" s="3"/>
    </row>
    <row r="917" spans="3:3" ht="12.5" x14ac:dyDescent="0.25">
      <c r="C917" s="3"/>
    </row>
    <row r="918" spans="3:3" ht="12.5" x14ac:dyDescent="0.25">
      <c r="C918" s="3"/>
    </row>
    <row r="919" spans="3:3" ht="12.5" x14ac:dyDescent="0.25">
      <c r="C919" s="3"/>
    </row>
    <row r="920" spans="3:3" ht="12.5" x14ac:dyDescent="0.25">
      <c r="C920" s="3"/>
    </row>
    <row r="921" spans="3:3" ht="12.5" x14ac:dyDescent="0.25">
      <c r="C921" s="3"/>
    </row>
    <row r="922" spans="3:3" ht="12.5" x14ac:dyDescent="0.25">
      <c r="C922" s="3"/>
    </row>
    <row r="923" spans="3:3" ht="12.5" x14ac:dyDescent="0.25">
      <c r="C923" s="3"/>
    </row>
    <row r="924" spans="3:3" ht="12.5" x14ac:dyDescent="0.25">
      <c r="C924" s="3"/>
    </row>
    <row r="925" spans="3:3" ht="12.5" x14ac:dyDescent="0.25">
      <c r="C925" s="3"/>
    </row>
    <row r="926" spans="3:3" ht="12.5" x14ac:dyDescent="0.25">
      <c r="C926" s="3"/>
    </row>
    <row r="927" spans="3:3" ht="12.5" x14ac:dyDescent="0.25">
      <c r="C927" s="3"/>
    </row>
    <row r="928" spans="3:3" ht="12.5" x14ac:dyDescent="0.25">
      <c r="C928" s="3"/>
    </row>
    <row r="929" spans="3:3" ht="12.5" x14ac:dyDescent="0.25">
      <c r="C929" s="3"/>
    </row>
    <row r="930" spans="3:3" ht="12.5" x14ac:dyDescent="0.25">
      <c r="C930" s="3"/>
    </row>
    <row r="931" spans="3:3" ht="12.5" x14ac:dyDescent="0.25">
      <c r="C931" s="3"/>
    </row>
    <row r="932" spans="3:3" ht="12.5" x14ac:dyDescent="0.25">
      <c r="C932" s="3"/>
    </row>
    <row r="933" spans="3:3" ht="12.5" x14ac:dyDescent="0.25">
      <c r="C933" s="3"/>
    </row>
    <row r="934" spans="3:3" ht="12.5" x14ac:dyDescent="0.25">
      <c r="C934" s="3"/>
    </row>
    <row r="935" spans="3:3" ht="12.5" x14ac:dyDescent="0.25">
      <c r="C935" s="3"/>
    </row>
    <row r="936" spans="3:3" ht="12.5" x14ac:dyDescent="0.25">
      <c r="C936" s="3"/>
    </row>
    <row r="937" spans="3:3" ht="12.5" x14ac:dyDescent="0.25">
      <c r="C937" s="3"/>
    </row>
    <row r="938" spans="3:3" ht="12.5" x14ac:dyDescent="0.25">
      <c r="C938" s="3"/>
    </row>
    <row r="939" spans="3:3" ht="12.5" x14ac:dyDescent="0.25">
      <c r="C939" s="3"/>
    </row>
    <row r="940" spans="3:3" ht="12.5" x14ac:dyDescent="0.25">
      <c r="C940" s="3"/>
    </row>
    <row r="941" spans="3:3" ht="12.5" x14ac:dyDescent="0.25">
      <c r="C941" s="3"/>
    </row>
    <row r="942" spans="3:3" ht="12.5" x14ac:dyDescent="0.25">
      <c r="C942" s="3"/>
    </row>
    <row r="943" spans="3:3" ht="12.5" x14ac:dyDescent="0.25">
      <c r="C943" s="3"/>
    </row>
    <row r="944" spans="3:3" ht="12.5" x14ac:dyDescent="0.25">
      <c r="C944" s="3"/>
    </row>
    <row r="945" spans="3:3" ht="12.5" x14ac:dyDescent="0.25">
      <c r="C945" s="3"/>
    </row>
    <row r="946" spans="3:3" ht="12.5" x14ac:dyDescent="0.25">
      <c r="C946" s="3"/>
    </row>
    <row r="947" spans="3:3" ht="12.5" x14ac:dyDescent="0.25">
      <c r="C947" s="3"/>
    </row>
    <row r="948" spans="3:3" ht="12.5" x14ac:dyDescent="0.25">
      <c r="C948" s="3"/>
    </row>
    <row r="949" spans="3:3" ht="12.5" x14ac:dyDescent="0.25">
      <c r="C949" s="3"/>
    </row>
    <row r="950" spans="3:3" ht="12.5" x14ac:dyDescent="0.25">
      <c r="C950" s="3"/>
    </row>
    <row r="951" spans="3:3" ht="12.5" x14ac:dyDescent="0.25">
      <c r="C951" s="3"/>
    </row>
    <row r="952" spans="3:3" ht="12.5" x14ac:dyDescent="0.25">
      <c r="C952" s="3"/>
    </row>
    <row r="953" spans="3:3" ht="12.5" x14ac:dyDescent="0.25">
      <c r="C953" s="3"/>
    </row>
    <row r="954" spans="3:3" ht="12.5" x14ac:dyDescent="0.25">
      <c r="C954" s="3"/>
    </row>
    <row r="955" spans="3:3" ht="12.5" x14ac:dyDescent="0.25">
      <c r="C955" s="3"/>
    </row>
    <row r="956" spans="3:3" ht="12.5" x14ac:dyDescent="0.25">
      <c r="C956" s="3"/>
    </row>
    <row r="957" spans="3:3" ht="12.5" x14ac:dyDescent="0.25">
      <c r="C957" s="3"/>
    </row>
    <row r="958" spans="3:3" ht="12.5" x14ac:dyDescent="0.25">
      <c r="C958" s="3"/>
    </row>
    <row r="959" spans="3:3" ht="12.5" x14ac:dyDescent="0.25">
      <c r="C959" s="3"/>
    </row>
    <row r="960" spans="3:3" ht="12.5" x14ac:dyDescent="0.25">
      <c r="C960" s="3"/>
    </row>
    <row r="961" spans="3:3" ht="12.5" x14ac:dyDescent="0.25">
      <c r="C961" s="3"/>
    </row>
    <row r="962" spans="3:3" ht="12.5" x14ac:dyDescent="0.25">
      <c r="C962" s="3"/>
    </row>
    <row r="963" spans="3:3" ht="12.5" x14ac:dyDescent="0.25">
      <c r="C963" s="3"/>
    </row>
    <row r="964" spans="3:3" ht="12.5" x14ac:dyDescent="0.25">
      <c r="C964" s="3"/>
    </row>
    <row r="965" spans="3:3" ht="12.5" x14ac:dyDescent="0.25">
      <c r="C965" s="3"/>
    </row>
    <row r="966" spans="3:3" ht="12.5" x14ac:dyDescent="0.25">
      <c r="C966" s="3"/>
    </row>
    <row r="967" spans="3:3" ht="12.5" x14ac:dyDescent="0.25">
      <c r="C967" s="3"/>
    </row>
    <row r="968" spans="3:3" ht="12.5" x14ac:dyDescent="0.25">
      <c r="C968" s="3"/>
    </row>
    <row r="969" spans="3:3" ht="12.5" x14ac:dyDescent="0.25">
      <c r="C969" s="3"/>
    </row>
    <row r="970" spans="3:3" ht="12.5" x14ac:dyDescent="0.25">
      <c r="C970" s="3"/>
    </row>
    <row r="971" spans="3:3" ht="12.5" x14ac:dyDescent="0.25">
      <c r="C971" s="3"/>
    </row>
    <row r="972" spans="3:3" ht="12.5" x14ac:dyDescent="0.25">
      <c r="C972" s="3"/>
    </row>
    <row r="973" spans="3:3" ht="12.5" x14ac:dyDescent="0.25">
      <c r="C973" s="3"/>
    </row>
    <row r="974" spans="3:3" ht="12.5" x14ac:dyDescent="0.25">
      <c r="C974" s="3"/>
    </row>
    <row r="975" spans="3:3" ht="12.5" x14ac:dyDescent="0.25">
      <c r="C975" s="3"/>
    </row>
    <row r="976" spans="3:3" ht="12.5" x14ac:dyDescent="0.25">
      <c r="C976" s="3"/>
    </row>
    <row r="977" spans="3:3" ht="12.5" x14ac:dyDescent="0.25">
      <c r="C977" s="3"/>
    </row>
    <row r="978" spans="3:3" ht="12.5" x14ac:dyDescent="0.25">
      <c r="C978" s="3"/>
    </row>
    <row r="979" spans="3:3" ht="12.5" x14ac:dyDescent="0.25">
      <c r="C979" s="3"/>
    </row>
    <row r="980" spans="3:3" ht="12.5" x14ac:dyDescent="0.25">
      <c r="C980" s="3"/>
    </row>
    <row r="981" spans="3:3" ht="12.5" x14ac:dyDescent="0.25">
      <c r="C981" s="3"/>
    </row>
    <row r="982" spans="3:3" ht="12.5" x14ac:dyDescent="0.25">
      <c r="C982" s="3"/>
    </row>
    <row r="983" spans="3:3" ht="12.5" x14ac:dyDescent="0.25">
      <c r="C983" s="3"/>
    </row>
    <row r="984" spans="3:3" ht="12.5" x14ac:dyDescent="0.25">
      <c r="C984" s="3"/>
    </row>
    <row r="985" spans="3:3" ht="12.5" x14ac:dyDescent="0.25">
      <c r="C985" s="3"/>
    </row>
    <row r="986" spans="3:3" ht="12.5" x14ac:dyDescent="0.25">
      <c r="C986" s="3"/>
    </row>
    <row r="987" spans="3:3" ht="12.5" x14ac:dyDescent="0.25">
      <c r="C987" s="3"/>
    </row>
    <row r="988" spans="3:3" ht="12.5" x14ac:dyDescent="0.25">
      <c r="C988" s="3"/>
    </row>
    <row r="989" spans="3:3" ht="12.5" x14ac:dyDescent="0.25">
      <c r="C989" s="3"/>
    </row>
    <row r="990" spans="3:3" ht="12.5" x14ac:dyDescent="0.25">
      <c r="C990" s="3"/>
    </row>
    <row r="991" spans="3:3" ht="12.5" x14ac:dyDescent="0.25">
      <c r="C991" s="3"/>
    </row>
    <row r="992" spans="3:3" ht="12.5" x14ac:dyDescent="0.25">
      <c r="C992" s="3"/>
    </row>
    <row r="993" spans="3:3" ht="12.5" x14ac:dyDescent="0.25">
      <c r="C993" s="3"/>
    </row>
    <row r="994" spans="3:3" ht="12.5" x14ac:dyDescent="0.25">
      <c r="C994" s="3"/>
    </row>
    <row r="995" spans="3:3" ht="12.5" x14ac:dyDescent="0.25">
      <c r="C995" s="3"/>
    </row>
    <row r="996" spans="3:3" ht="12.5" x14ac:dyDescent="0.25">
      <c r="C996" s="3"/>
    </row>
    <row r="997" spans="3:3" ht="12.5" x14ac:dyDescent="0.25">
      <c r="C997" s="3"/>
    </row>
    <row r="998" spans="3:3" ht="12.5" x14ac:dyDescent="0.25">
      <c r="C998" s="3"/>
    </row>
    <row r="999" spans="3:3" ht="12.5" x14ac:dyDescent="0.25">
      <c r="C999" s="3"/>
    </row>
    <row r="1000" spans="3:3" ht="12.5" x14ac:dyDescent="0.25">
      <c r="C1000" s="3"/>
    </row>
    <row r="1001" spans="3:3" ht="12.5" x14ac:dyDescent="0.25">
      <c r="C1001" s="3"/>
    </row>
    <row r="1002" spans="3:3" ht="12.5" x14ac:dyDescent="0.25">
      <c r="C1002" s="3"/>
    </row>
    <row r="1003" spans="3:3" ht="12.5" x14ac:dyDescent="0.25">
      <c r="C1003" s="3"/>
    </row>
    <row r="1004" spans="3:3" ht="12.5" x14ac:dyDescent="0.25">
      <c r="C1004" s="3"/>
    </row>
    <row r="1005" spans="3:3" ht="12.5" x14ac:dyDescent="0.25">
      <c r="C1005" s="3"/>
    </row>
    <row r="1006" spans="3:3" ht="12.5" x14ac:dyDescent="0.25">
      <c r="C1006" s="3"/>
    </row>
    <row r="1007" spans="3:3" ht="12.5" x14ac:dyDescent="0.25">
      <c r="C1007" s="3"/>
    </row>
    <row r="1008" spans="3:3" ht="12.5" x14ac:dyDescent="0.25">
      <c r="C1008" s="3"/>
    </row>
    <row r="1009" spans="3:3" ht="12.5" x14ac:dyDescent="0.25">
      <c r="C1009" s="3"/>
    </row>
    <row r="1010" spans="3:3" ht="12.5" x14ac:dyDescent="0.25">
      <c r="C1010" s="3"/>
    </row>
    <row r="1011" spans="3:3" ht="12.5" x14ac:dyDescent="0.25">
      <c r="C1011" s="3"/>
    </row>
    <row r="1012" spans="3:3" ht="12.5" x14ac:dyDescent="0.25">
      <c r="C1012" s="3"/>
    </row>
    <row r="1013" spans="3:3" ht="12.5" x14ac:dyDescent="0.25">
      <c r="C1013" s="3"/>
    </row>
    <row r="1014" spans="3:3" ht="12.5" x14ac:dyDescent="0.25">
      <c r="C1014" s="3"/>
    </row>
    <row r="1015" spans="3:3" ht="12.5" x14ac:dyDescent="0.25">
      <c r="C1015" s="3"/>
    </row>
  </sheetData>
  <mergeCells count="12">
    <mergeCell ref="P16:Q16"/>
    <mergeCell ref="E17:E18"/>
    <mergeCell ref="A1:Q1"/>
    <mergeCell ref="G16:H16"/>
    <mergeCell ref="G28:H28"/>
    <mergeCell ref="J28:K28"/>
    <mergeCell ref="M28:N28"/>
    <mergeCell ref="A3:D3"/>
    <mergeCell ref="A16:B16"/>
    <mergeCell ref="C16:E16"/>
    <mergeCell ref="J16:K16"/>
    <mergeCell ref="M16:N16"/>
  </mergeCells>
  <dataValidations count="2">
    <dataValidation type="list" allowBlank="1" showErrorMessage="1" sqref="E19:E35">
      <formula1>"Foods &amp; Drinks,Groceries,Travel,Utilities,Shopping,Savings,Emi"</formula1>
    </dataValidation>
    <dataValidation type="list" allowBlank="1" showErrorMessage="1" sqref="E36:E38">
      <formula1>"Foods &amp; Drinks,Groceries,Travel,Utilities,Shopping,Savings,Emi"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NMT</cp:lastModifiedBy>
  <dcterms:modified xsi:type="dcterms:W3CDTF">2026-09-15T12:09:28Z</dcterms:modified>
</cp:coreProperties>
</file>